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61f5f794d4457" /></Relationships>
</file>

<file path=xl/workbook.xml><?xml version="1.0" encoding="utf-8"?>
<workbook xmlns="http://schemas.openxmlformats.org/spreadsheetml/2006/main" xmlns:r="http://schemas.openxmlformats.org/officeDocument/2006/relationships">
  <sheets>
    <sheet name="Gonderdigin ilanlar" sheetId="3" r:id="Ref3a85f725534e9e"/>
    <sheet name="Konaklamalar" sheetId="1" r:id="R923c9e1d0b3b4256"/>
    <sheet name="Ulasim ve ayrintilar" sheetId="2" r:id="R09cfb9bbd6264a21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243B53"/>
      <x:name val="Arial"/>
    </x:font>
    <x:font>
      <x:b/>
      <x:sz val="16"/>
      <x:color rgb="FF243B53"/>
      <x:name val="Arial"/>
    </x:font>
    <x:font>
      <x:b/>
      <x:sz val="10"/>
      <x:color rgb="FFFFFFFF"/>
      <x:name val="Arial"/>
    </x:font>
    <x:font>
      <x:u val="single"/>
      <x:sz val="10"/>
      <x:color rgb="FF1261A0"/>
      <x:name val="Arial"/>
    </x:font>
    <x:font>
      <x:b/>
      <x:sz val="14"/>
      <x:color rgb="FF243B53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486581"/>
      </x:patternFill>
    </x:fill>
    <x:fill>
      <x:patternFill patternType="solid">
        <x:fgColor rgb="FF243B53"/>
      </x:patternFill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A61C00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cb8bb4a7e4048" /><Relationship Type="http://schemas.openxmlformats.org/officeDocument/2006/relationships/theme" Target="/xl/theme/theme1.xml" Id="R5cbbfd1a12dc474f" /><Relationship Type="http://schemas.openxmlformats.org/officeDocument/2006/relationships/sharedStrings" Target="/xl/sharedStrings.xml" Id="R1dc48fa0a4c34488" /><Relationship Type="http://schemas.openxmlformats.org/officeDocument/2006/relationships/worksheet" Target="/xl/worksheets/sheet1.xml" Id="R923c9e1d0b3b4256" /><Relationship Type="http://schemas.openxmlformats.org/officeDocument/2006/relationships/worksheet" Target="/xl/worksheets/sheet2.xml" Id="R09cfb9bbd6264a21" /><Relationship Type="http://schemas.openxmlformats.org/officeDocument/2006/relationships/worksheet" Target="/xl/worksheets/sheet3.xml" Id="Ref3a85f725534e9e" /></Relationships>
</file>

<file path=xl/tables/table1.xml><?xml version="1.0" encoding="utf-8"?>
<x:table xmlns:x="http://schemas.openxmlformats.org/spreadsheetml/2006/main" id="1" name="KonaklamaListesi" displayName="KonaklamaListesi" ref="A7:N16" headerRowCount="1" totalsRowCount="0" totalsRowShown="0">
  <x:tableColumns count="14">
    <x:tableColumn id="1" name="ID"/>
    <x:tableColumn id="2" name="Bölge / ilan"/>
    <x:tableColumn id="3" name="9 gece toplam (TL)"/>
    <x:tableColumn id="4" name="Kişi başı (TL)"/>
    <x:tableColumn id="5" name="Hat / ulaşım"/>
    <x:tableColumn id="6" name="Durak sayısı"/>
    <x:tableColumn id="7" name="Aktarma"/>
    <x:tableColumn id="8" name="İstasyona yürüyüş"/>
    <x:tableColumn id="9" name="Araç içi süre (dk)"/>
    <x:tableColumn id="10" name="Kapıdan kapıya tahmin"/>
    <x:tableColumn id="11" name="Puan / yorum"/>
    <x:tableColumn id="12" name="Durum"/>
    <x:tableColumn id="13" name="Bağlantı"/>
    <x:tableColumn id="14" name="Bütçeden kalan (TL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lasimHesabi" displayName="UlasimHesabi" ref="A7:Q16" headerRowCount="1" totalsRowCount="0" totalsRowShown="0">
  <x:tableColumns count="17">
    <x:tableColumn id="1" name="ID"/>
    <x:tableColumn id="2" name="Yatak düzeni / alan"/>
    <x:tableColumn id="3" name="Biniş istasyonu"/>
    <x:tableColumn id="4" name="Güzergâh ve duraklar"/>
    <x:tableColumn id="5" name="Durak hesabı"/>
    <x:tableColumn id="6" name="Eve yakın durağa yürüyüş min"/>
    <x:tableColumn id="7" name="Yürüyüş max"/>
    <x:tableColumn id="8" name="Araç içi min (dk)"/>
    <x:tableColumn id="9" name="Araç içi max"/>
    <x:tableColumn id="10" name="Bekleme min (dk)"/>
    <x:tableColumn id="11" name="Bekleme max"/>
    <x:tableColumn id="12" name="Aktarma yürüyüşü min"/>
    <x:tableColumn id="13" name="Aktarma yürüyüşü max"/>
    <x:tableColumn id="14" name="Okula yürüyüş min"/>
    <x:tableColumn id="15" name="Okula yürüyüş max"/>
    <x:tableColumn id="16" name="Toplam min (dk)"/>
    <x:tableColumn id="17" name="Toplam max (dk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nderilenIlanlar" displayName="GonderilenIlanlar" ref="A6:I33" headerRowCount="1" totalsRowCount="0" totalsRowShown="0">
  <x:tableColumns count="9">
    <x:tableColumn id="1" name="Platform"/>
    <x:tableColumn id="2" name="İlan"/>
    <x:tableColumn id="3" name="Temel / toplam (TL)"/>
    <x:tableColumn id="4" name="Vergi ek (TL)"/>
    <x:tableColumn id="5" name="Toplam (TL)"/>
    <x:tableColumn id="6" name="Oda düzeni"/>
    <x:tableColumn id="7" name="Puan / yorum"/>
    <x:tableColumn id="8" name="Notlar"/>
    <x:tableColumn id="9" name="İlan bağlantıs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airbnb.com.tr/rooms/1228884752791241076?adults=3&amp;check_in=2026-11-13&amp;check_out=2026-11-22&amp;search_mode=regular_search&amp;photo_id=2208232972&amp;source_impression_id=p3_32401926-e363-4b5e-919e-666051301af2_cbe6b3af-7e9a-45a6-85bc-7bac322c725e_0_1228884752791241076_16&amp;previous_page_section_name=1000&amp;federated_search_id=32401926-e363-4b5e-919e-666051301af2" TargetMode="External" Id="R6e029221688e418c" /><Relationship Type="http://schemas.openxmlformats.org/officeDocument/2006/relationships/hyperlink" Target="https://www.airbnb.com.tr/rooms/1104536727716347677?adults=3&amp;check_in=2026-11-13&amp;check_out=2026-11-22&amp;search_mode=regular_search&amp;photo_id=1856301107&amp;source_impression_id=p3_25ab243e-c802-41cc-a83b-15f6cd9fe371_bbb01f8d-6706-42ef-b66a-3748492579b1_0_1104536727716347677_17&amp;previous_page_section_name=1000&amp;federated_search_id=25ab243e-c802-41cc-a83b-15f6cd9fe371" TargetMode="External" Id="R776f682d209a463f" /><Relationship Type="http://schemas.openxmlformats.org/officeDocument/2006/relationships/hyperlink" Target="https://www.airbnb.com.tr/rooms/1597803666494694176?adults=3&amp;check_in=2026-11-13&amp;check_out=2026-11-22&amp;search_mode=regular_search&amp;photo_id=2497981239&amp;source_impression_id=p3_3c301135-591c-484b-bd8a-2136829d154e_5c932fb2-b654-4383-af0d-f954ec40e32e_0_1597803666494694176_3&amp;previous_page_section_name=1000&amp;federated_search_id=3c301135-591c-484b-bd8a-2136829d154e" TargetMode="External" Id="R4115c6122b094815" /><Relationship Type="http://schemas.openxmlformats.org/officeDocument/2006/relationships/hyperlink" Target="https://www.airbnb.com.tr/rooms/1061024052582307771?source_impression_id=p3_1793089189_P3b4M6YhMk6EjX-b" TargetMode="External" Id="R416c5ccfdb964ba6" /><Relationship Type="http://schemas.openxmlformats.org/officeDocument/2006/relationships/hyperlink" Target="https://www.airbnb.com.tr/rooms/1081863904033326595?source_impression_id=p3_1793088082_P3O4pG8q59ifa7iq" TargetMode="External" Id="R33acd9bde03642e0" /><Relationship Type="http://schemas.openxmlformats.org/officeDocument/2006/relationships/hyperlink" Target="https://www.airbnb.com.tr/rooms/1410834603563517631?source_impression_id=p3_1793088064_P33Or1pxH2OrMUJ2" TargetMode="External" Id="R5980bbfb304048be" /><Relationship Type="http://schemas.openxmlformats.org/officeDocument/2006/relationships/hyperlink" Target="https://www.airbnb.com.tr/rooms/899677861285720090?adults=3&amp;check_in=2026-11-13&amp;check_out=2026-11-22&amp;search_mode=regular_search&amp;photo_id=2018539852&amp;source_impression_id=p3_25ab243e-c802-41cc-a83b-15f6cd9fe371_bbb01f8d-6706-42ef-b66a-3748492579b1_0_899677861285720090_8&amp;previous_page_section_name=1000&amp;federated_search_id=25ab243e-c802-41cc-a83b-15f6cd9fe371" TargetMode="External" Id="R94caf9b795434b5f" /><Relationship Type="http://schemas.openxmlformats.org/officeDocument/2006/relationships/hyperlink" Target="https://www.airbnb.com.tr/rooms/580847901337962495?source_impression_id=p3_1793089292_P3oHxlVegTJ_87AG" TargetMode="External" Id="Raf3978d2fec34c69" /><Relationship Type="http://schemas.openxmlformats.org/officeDocument/2006/relationships/hyperlink" Target="https://www.airbnb.com.tr/rooms/1109940987837798303?adults=3&amp;check_in=2026-11-13&amp;check_out=2026-11-22&amp;search_mode=regular_search&amp;photo_id=1858559665&amp;source_impression_id=p3_32401926-e363-4b5e-919e-666051301af2_cbe6b3af-7e9a-45a6-85bc-7bac322c725e_0_1109940987837798303_17&amp;previous_page_section_name=1000&amp;federated_search_id=32401926-e363-4b5e-919e-666051301af2" TargetMode="External" Id="Rc57a5310e834452d" /><Relationship Type="http://schemas.openxmlformats.org/officeDocument/2006/relationships/table" Target="/xl/tables/table1.xml" Id="R4b9ddc5974aa42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airbnb.com.tr/rooms/1228884752791241076?adults=3&amp;check_in=2026-11-13&amp;check_out=2026-11-22&amp;search_mode=regular_search&amp;photo_id=2208232972&amp;source_impression_id=p3_32401926-e363-4b5e-919e-666051301af2_cbe6b3af-7e9a-45a6-85bc-7bac322c725e_0_1228884752791241076_16&amp;previous_page_section_name=1000&amp;federated_search_id=32401926-e363-4b5e-919e-666051301af2" TargetMode="External" Id="R96090e7197974f2a" /><Relationship Type="http://schemas.openxmlformats.org/officeDocument/2006/relationships/hyperlink" Target="https://www.airbnb.com.tr/rooms/1104536727716347677?adults=3&amp;check_in=2026-11-13&amp;check_out=2026-11-22&amp;search_mode=regular_search&amp;photo_id=1856301107&amp;source_impression_id=p3_25ab243e-c802-41cc-a83b-15f6cd9fe371_bbb01f8d-6706-42ef-b66a-3748492579b1_0_1104536727716347677_17&amp;previous_page_section_name=1000&amp;federated_search_id=25ab243e-c802-41cc-a83b-15f6cd9fe371" TargetMode="External" Id="R519337281522405a" /><Relationship Type="http://schemas.openxmlformats.org/officeDocument/2006/relationships/hyperlink" Target="https://www.airbnb.com.tr/rooms/1597803666494694176?adults=3&amp;check_in=2026-11-13&amp;check_out=2026-11-22&amp;search_mode=regular_search&amp;photo_id=2497981239&amp;source_impression_id=p3_3c301135-591c-484b-bd8a-2136829d154e_5c932fb2-b654-4383-af0d-f954ec40e32e_0_1597803666494694176_3&amp;previous_page_section_name=1000&amp;federated_search_id=3c301135-591c-484b-bd8a-2136829d154e" TargetMode="External" Id="R51403340d6ca40bc" /><Relationship Type="http://schemas.openxmlformats.org/officeDocument/2006/relationships/hyperlink" Target="https://www.airbnb.com.tr/rooms/1061024052582307771?source_impression_id=p3_1793089189_P3b4M6YhMk6EjX-b" TargetMode="External" Id="R63c923ada0674640" /><Relationship Type="http://schemas.openxmlformats.org/officeDocument/2006/relationships/hyperlink" Target="https://www.airbnb.com.tr/rooms/1081863904033326595?source_impression_id=p3_1793088082_P3O4pG8q59ifa7iq" TargetMode="External" Id="Rc1e8cf02fff74188" /><Relationship Type="http://schemas.openxmlformats.org/officeDocument/2006/relationships/hyperlink" Target="https://www.airbnb.com.tr/rooms/1410834603563517631?source_impression_id=p3_1793088064_P33Or1pxH2OrMUJ2" TargetMode="External" Id="Ra86de977fd124d37" /><Relationship Type="http://schemas.openxmlformats.org/officeDocument/2006/relationships/hyperlink" Target="https://www.airbnb.com.tr/rooms/899677861285720090?adults=3&amp;check_in=2026-11-13&amp;check_out=2026-11-22&amp;search_mode=regular_search&amp;photo_id=2018539852&amp;source_impression_id=p3_25ab243e-c802-41cc-a83b-15f6cd9fe371_bbb01f8d-6706-42ef-b66a-3748492579b1_0_899677861285720090_8&amp;previous_page_section_name=1000&amp;federated_search_id=25ab243e-c802-41cc-a83b-15f6cd9fe371" TargetMode="External" Id="R6126c239982e4926" /><Relationship Type="http://schemas.openxmlformats.org/officeDocument/2006/relationships/hyperlink" Target="https://www.airbnb.com.tr/rooms/580847901337962495?source_impression_id=p3_1793089292_P3oHxlVegTJ_87AG" TargetMode="External" Id="R8c8984df825d499c" /><Relationship Type="http://schemas.openxmlformats.org/officeDocument/2006/relationships/hyperlink" Target="https://www.airbnb.com.tr/rooms/1109940987837798303?adults=3&amp;check_in=2026-11-13&amp;check_out=2026-11-22&amp;search_mode=regular_search&amp;photo_id=1858559665&amp;source_impression_id=p3_32401926-e363-4b5e-919e-666051301af2_cbe6b3af-7e9a-45a6-85bc-7bac322c725e_0_1109940987837798303_17&amp;previous_page_section_name=1000&amp;federated_search_id=32401926-e363-4b5e-919e-666051301af2" TargetMode="External" Id="Rbee23c5d5ff54d06" /><Relationship Type="http://schemas.openxmlformats.org/officeDocument/2006/relationships/table" Target="/xl/tables/table2.xml" Id="Rb2121b7df28545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www.booking.com/hotel/fr/le-jardin-edgar-malakoff.tr.html" TargetMode="External" Id="R4cd127332c0c4073" /><Relationship Type="http://schemas.openxmlformats.org/officeDocument/2006/relationships/hyperlink" Target="https://www.booking.com/hotel/fr/parc-montsouris-paris.tr.html" TargetMode="External" Id="Rab08772bb4514032" /><Relationship Type="http://schemas.openxmlformats.org/officeDocument/2006/relationships/hyperlink" Target="https://www.booking.com/hotel/fr/le-champs-elysees-cite-universitaire-paris-14.tr.html" TargetMode="External" Id="R31edf95d51d5409c" /><Relationship Type="http://schemas.openxmlformats.org/officeDocument/2006/relationships/hyperlink" Target="https://www.booking.com/hotel/fr/nid-parisien-cachan.tr.html" TargetMode="External" Id="R3da9ac04681346ff" /><Relationship Type="http://schemas.openxmlformats.org/officeDocument/2006/relationships/hyperlink" Target="https://www.booking.com/hotel/fr/t2-coteau-cachan.tr.html" TargetMode="External" Id="R70d765aa2d7b49b1" /><Relationship Type="http://schemas.openxmlformats.org/officeDocument/2006/relationships/hyperlink" Target="https://www.booking.com/hotel/fr/entire-apartment-f3-next-to-rer-b-antony.tr.html" TargetMode="External" Id="R6c5c8a0cee164151" /><Relationship Type="http://schemas.openxmlformats.org/officeDocument/2006/relationships/hyperlink" Target="https://www.booking.com/hotel/fr/residence-roz-2.tr.html" TargetMode="External" Id="R02af659c4f4b4844" /><Relationship Type="http://schemas.openxmlformats.org/officeDocument/2006/relationships/hyperlink" Target="https://www.booking.com/hotel/fr/sejours-amp-affaires-massy-atlantis.tr.html" TargetMode="External" Id="R7bdcbdef8dda4988" /><Relationship Type="http://schemas.openxmlformats.org/officeDocument/2006/relationships/hyperlink" Target="https://www.booking.com/hotel/fr/superbe-appart-2p-pour-4-pers-a-5-min-tgv-rer-orly.tr.html" TargetMode="External" Id="Rab917ef801c044a3" /><Relationship Type="http://schemas.openxmlformats.org/officeDocument/2006/relationships/hyperlink" Target="https://www.booking.com/hotel/fr/cozy-studio-near-rer-b.tr.html" TargetMode="External" Id="R51be88bf3b2540a4" /><Relationship Type="http://schemas.openxmlformats.org/officeDocument/2006/relationships/hyperlink" Target="https://www.booking.com/hotel/fr/tulip-inn-massy-palaiseau-residence.tr.html" TargetMode="External" Id="Raece274391104031" /><Relationship Type="http://schemas.openxmlformats.org/officeDocument/2006/relationships/hyperlink" Target="https://www.airbnb.com.tr/rooms/912125809575987889" TargetMode="External" Id="Re172009440a54dde" /><Relationship Type="http://schemas.openxmlformats.org/officeDocument/2006/relationships/hyperlink" Target="https://www.airbnb.com.tr/rooms/1240655557208034505" TargetMode="External" Id="R6fd01436390e44e9" /><Relationship Type="http://schemas.openxmlformats.org/officeDocument/2006/relationships/hyperlink" Target="https://www.airbnb.com.tr/rooms/1597803666494694176" TargetMode="External" Id="R0cf82a09598e4d1c" /><Relationship Type="http://schemas.openxmlformats.org/officeDocument/2006/relationships/hyperlink" Target="https://www.airbnb.com.tr/rooms/1015341138481073900" TargetMode="External" Id="R5dfa5eec9da849ab" /><Relationship Type="http://schemas.openxmlformats.org/officeDocument/2006/relationships/hyperlink" Target="https://www.airbnb.com.tr/rooms/21548407" TargetMode="External" Id="Raf1c06f0f5af402f" /><Relationship Type="http://schemas.openxmlformats.org/officeDocument/2006/relationships/hyperlink" Target="https://www.airbnb.com.tr/rooms/1061024052582307771" TargetMode="External" Id="Rca6da8edb31b47d7" /><Relationship Type="http://schemas.openxmlformats.org/officeDocument/2006/relationships/hyperlink" Target="https://www.airbnb.com.tr/rooms/1104536727716347677" TargetMode="External" Id="Rf642145be4a14d30" /><Relationship Type="http://schemas.openxmlformats.org/officeDocument/2006/relationships/hyperlink" Target="https://www.airbnb.com.tr/rooms/1192109341409790246" TargetMode="External" Id="Ra2cc9d43a0be40fa" /><Relationship Type="http://schemas.openxmlformats.org/officeDocument/2006/relationships/hyperlink" Target="https://www.airbnb.com.tr/rooms/1410834603563517631" TargetMode="External" Id="Rccf3154be64e4ed0" /><Relationship Type="http://schemas.openxmlformats.org/officeDocument/2006/relationships/hyperlink" Target="https://www.airbnb.com.tr/rooms/1228884752791241076" TargetMode="External" Id="R88071de1f9944e02" /><Relationship Type="http://schemas.openxmlformats.org/officeDocument/2006/relationships/hyperlink" Target="https://www.airbnb.com.tr/rooms/1670947872499138173" TargetMode="External" Id="R23dc4e11bda5499f" /><Relationship Type="http://schemas.openxmlformats.org/officeDocument/2006/relationships/hyperlink" Target="https://www.airbnb.com.tr/rooms/789302865571147059" TargetMode="External" Id="Rb59fe85427f24742" /><Relationship Type="http://schemas.openxmlformats.org/officeDocument/2006/relationships/hyperlink" Target="https://www.airbnb.com.tr/rooms/804454378659557391" TargetMode="External" Id="R54f31ffe69354360" /><Relationship Type="http://schemas.openxmlformats.org/officeDocument/2006/relationships/hyperlink" Target="https://www.airbnb.com.tr/rooms/1400000070296142652" TargetMode="External" Id="R2c6b91f6ada641dc" /><Relationship Type="http://schemas.openxmlformats.org/officeDocument/2006/relationships/hyperlink" Target="https://www.airbnb.com.tr/rooms/983245317095951888" TargetMode="External" Id="R7f358d19dbac4ea5" /><Relationship Type="http://schemas.openxmlformats.org/officeDocument/2006/relationships/hyperlink" Target="https://www.airbnb.com.tr/rooms/1617390993473237515" TargetMode="External" Id="Rc419e656dd774ec1" /><Relationship Type="http://schemas.openxmlformats.org/officeDocument/2006/relationships/table" Target="/xl/tables/table3.xml" Id="R3b93ccec15e84134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5.329999923706055" hidden="0" customWidth="1"/>
    <x:col min="2" max="2" width="26.110000610351562" hidden="0" customWidth="1"/>
    <x:col min="3" max="3" width="12.4399995803833" hidden="0" customWidth="1"/>
    <x:col min="4" max="4" width="11.779999732971191" hidden="0" customWidth="1"/>
    <x:col min="5" max="5" width="15" hidden="0" customWidth="1"/>
    <x:col min="6" max="6" width="9.4399995803833" hidden="0" customWidth="1"/>
    <x:col min="7" max="7" width="8.329999923706055" hidden="0" customWidth="1"/>
    <x:col min="8" max="8" width="17" hidden="0" customWidth="1"/>
    <x:col min="9" max="9" width="11.109999656677246" hidden="0" customWidth="1"/>
    <x:col min="10" max="10" width="22.219999313354492" hidden="0" customWidth="1"/>
    <x:col min="11" max="11" width="11.109999656677246" hidden="0" customWidth="1"/>
    <x:col min="12" max="12" width="20.559999465942383" hidden="0" customWidth="1"/>
    <x:col min="13" max="13" width="10.4399995803833" hidden="0" customWidth="1"/>
    <x:col min="14" max="14" width="13.3299999237060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Paris konaklama karşılaştırması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 t="str">
        <x:v>13–22 Kasım 2026 · 9 gece · 3 yetişkin · 2 ayrı yatak odası · toplam bütçe 65.000 TL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 t="str">
        <x:v>Hedef: MINES Paris, 60 Boulevard Saint-Michel. Kontrol: 27.10.2026. Fiyatlar değişebilir.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Süreler normal sefer düzeni için tahmindir. Tam adresi gizli ilanlarda bilinmeyen yürüyüş ayrıca belirtilmiştir.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42" customHeight="1">
      <x:c r="A7" s="7" t="str">
        <x:v>ID</x:v>
      </x:c>
      <x:c r="B7" s="7" t="str">
        <x:v>Bölge / ilan</x:v>
      </x:c>
      <x:c r="C7" s="7" t="str">
        <x:v>9 gece toplam (TL)</x:v>
      </x:c>
      <x:c r="D7" s="7" t="str">
        <x:v>Kişi başı (TL)</x:v>
      </x:c>
      <x:c r="E7" s="7" t="str">
        <x:v>Hat / ulaşım</x:v>
      </x:c>
      <x:c r="F7" s="7" t="str">
        <x:v>Durak sayısı</x:v>
      </x:c>
      <x:c r="G7" s="7" t="str">
        <x:v>Aktarma</x:v>
      </x:c>
      <x:c r="H7" s="7" t="str">
        <x:v>İstasyona yürüyüş</x:v>
      </x:c>
      <x:c r="I7" s="7" t="str">
        <x:v>Araç içi süre (dk)</x:v>
      </x:c>
      <x:c r="J7" s="7" t="str">
        <x:v>Kapıdan kapıya tahmin</x:v>
      </x:c>
      <x:c r="K7" s="7" t="str">
        <x:v>Puan / yorum</x:v>
      </x:c>
      <x:c r="L7" s="7" t="str">
        <x:v>Durum</x:v>
      </x:c>
      <x:c r="M7" s="7" t="str">
        <x:v>Bağlantı</x:v>
      </x:c>
      <x:c r="N7" s="7" t="str">
        <x:v>Bütçeden kalan (TL)</x:v>
      </x:c>
      <x:c r="O7" s="2"/>
      <x:c r="P7" s="2"/>
      <x:c r="Q7" s="2"/>
    </x:row>
    <x:row r="8" ht="66" customHeight="1">
      <x:c r="A8" s="4" t="str">
        <x:v>A01</x:v>
      </x:c>
      <x:c r="B8" s="4" t="str">
        <x:v>Fontenay-aux-Roses
Soumia</x:v>
      </x:c>
      <x:c r="C8" s="8" t="n">
        <x:v>54834</x:v>
      </x:c>
      <x:c r="D8" s="8" t="n">
        <x:f>C8/3</x:f>
        <x:v>18278</x:v>
      </x:c>
      <x:c r="E8" s="4" t="str">
        <x:v>RER B</x:v>
      </x:c>
      <x:c r="F8" s="4" t="n">
        <x:v>10</x:v>
      </x:c>
      <x:c r="G8" s="4" t="n">
        <x:v>0</x:v>
      </x:c>
      <x:c r="H8" s="4" t="str">
        <x:v>5 dk (ilan)</x:v>
      </x:c>
      <x:c r="I8" s="4" t="str">
        <x:v>19–21</x:v>
      </x:c>
      <x:c r="J8" s="4" t="str">
        <x:v>29–40 dk</x:v>
      </x:c>
      <x:c r="K8" s="4" t="str">
        <x:v>4,91 / 80</x:v>
      </x:c>
      <x:c r="L8" s="4" t="str">
        <x:v>Öncelikli aday</x:v>
      </x:c>
      <x:c r="M8" s="9" t="str">
        <x:v>İlanı aç</x:v>
      </x:c>
      <x:c r="N8" s="8" t="n">
        <x:f>65000-C8</x:f>
        <x:v>10166</x:v>
      </x:c>
      <x:c r="O8" s="2"/>
      <x:c r="P8" s="2"/>
      <x:c r="Q8" s="2"/>
    </x:row>
    <x:row r="9" ht="66" customHeight="1">
      <x:c r="A9" s="4" t="str">
        <x:v>A02</x:v>
      </x:c>
      <x:c r="B9" s="4" t="str">
        <x:v>Le Bourget
Gurpreet</x:v>
      </x:c>
      <x:c r="C9" s="8" t="n">
        <x:v>60723</x:v>
      </x:c>
      <x:c r="D9" s="8" t="n">
        <x:f>C9/3</x:f>
        <x:v>20241</x:v>
      </x:c>
      <x:c r="E9" s="4" t="str">
        <x:v>RER B</x:v>
      </x:c>
      <x:c r="F9" s="4" t="n">
        <x:v>6</x:v>
      </x:c>
      <x:c r="G9" s="4" t="n">
        <x:v>0</x:v>
      </x:c>
      <x:c r="H9" s="4" t="str">
        <x:v>3 dk (misafir yorumu)</x:v>
      </x:c>
      <x:c r="I9" s="4" t="str">
        <x:v>19–22</x:v>
      </x:c>
      <x:c r="J9" s="4" t="str">
        <x:v>27–39 dk</x:v>
      </x:c>
      <x:c r="K9" s="4" t="str">
        <x:v>4,88 / 90</x:v>
      </x:c>
      <x:c r="L9" s="4" t="str">
        <x:v>Yeni öncelikli aday</x:v>
      </x:c>
      <x:c r="M9" s="9" t="str">
        <x:v>İlanı aç</x:v>
      </x:c>
      <x:c r="N9" s="8" t="n">
        <x:f>65000-C9</x:f>
        <x:v>4277</x:v>
      </x:c>
      <x:c r="O9" s="2"/>
      <x:c r="P9" s="2"/>
      <x:c r="Q9" s="2"/>
    </x:row>
    <x:row r="10" ht="66" customHeight="1">
      <x:c r="A10" s="4" t="str">
        <x:v>A06</x:v>
      </x:c>
      <x:c r="B10" s="4" t="str">
        <x:v>Cachan
Jeanne-Danielle</x:v>
      </x:c>
      <x:c r="C10" s="8" t="n">
        <x:v>62914</x:v>
      </x:c>
      <x:c r="D10" s="8" t="n">
        <x:f>C10/3</x:f>
        <x:v>20971.333333333332</x:v>
      </x:c>
      <x:c r="E10" s="4" t="str">
        <x:v>RER B</x:v>
      </x:c>
      <x:c r="F10" s="4" t="n">
        <x:v>6</x:v>
      </x:c>
      <x:c r="G10" s="4" t="n">
        <x:v>0</x:v>
      </x:c>
      <x:c r="H10" s="4" t="str">
        <x:v>5 dk (ilan)</x:v>
      </x:c>
      <x:c r="I10" s="4" t="str">
        <x:v>11–14</x:v>
      </x:c>
      <x:c r="J10" s="4" t="str">
        <x:v>21–31 dk</x:v>
      </x:c>
      <x:c r="K10" s="4" t="str">
        <x:v>4,79 / 19</x:v>
      </x:c>
      <x:c r="L10" s="4" t="str">
        <x:v>Yeni öncelikli aday</x:v>
      </x:c>
      <x:c r="M10" s="9" t="str">
        <x:v>İlanı aç</x:v>
      </x:c>
      <x:c r="N10" s="8" t="n">
        <x:f>65000-C10</x:f>
        <x:v>2086</x:v>
      </x:c>
      <x:c r="O10" s="2"/>
      <x:c r="P10" s="2"/>
      <x:c r="Q10" s="2"/>
    </x:row>
    <x:row r="11" ht="66" customHeight="1">
      <x:c r="A11" s="4" t="str">
        <x:v>A07</x:v>
      </x:c>
      <x:c r="B11" s="4" t="str">
        <x:v>Arcueil / Laplace
Paul</x:v>
      </x:c>
      <x:c r="C11" s="8" t="n">
        <x:v>61880</x:v>
      </x:c>
      <x:c r="D11" s="8" t="n">
        <x:f>C11/3</x:f>
        <x:v>20626.666666666668</x:v>
      </x:c>
      <x:c r="E11" s="4" t="str">
        <x:v>RER B</x:v>
      </x:c>
      <x:c r="F11" s="4" t="n">
        <x:v>5</x:v>
      </x:c>
      <x:c r="G11" s="4" t="n">
        <x:v>0</x:v>
      </x:c>
      <x:c r="H11" s="4" t="str">
        <x:v>2–3 dk (ilan)</x:v>
      </x:c>
      <x:c r="I11" s="4" t="str">
        <x:v>9–12</x:v>
      </x:c>
      <x:c r="J11" s="4" t="str">
        <x:v>16–27 dk</x:v>
      </x:c>
      <x:c r="K11" s="4" t="str">
        <x:v>4,63 / 115</x:v>
      </x:c>
      <x:c r="L11" s="4" t="str">
        <x:v>Yeni aday; yorumları incele</x:v>
      </x:c>
      <x:c r="M11" s="9" t="str">
        <x:v>İlanı aç</x:v>
      </x:c>
      <x:c r="N11" s="8" t="n">
        <x:f>65000-C11</x:f>
        <x:v>3120</x:v>
      </x:c>
      <x:c r="O11" s="2"/>
      <x:c r="P11" s="2"/>
      <x:c r="Q11" s="2"/>
    </x:row>
    <x:row r="12" ht="66" customHeight="1">
      <x:c r="A12" s="4" t="str">
        <x:v>A03</x:v>
      </x:c>
      <x:c r="B12" s="4" t="str">
        <x:v>Plaine Saint-Denis
Fouzia</x:v>
      </x:c>
      <x:c r="C12" s="8" t="n">
        <x:v>62884</x:v>
      </x:c>
      <x:c r="D12" s="8" t="n">
        <x:f>C12/3</x:f>
        <x:v>20961.333333333332</x:v>
      </x:c>
      <x:c r="E12" s="4" t="str">
        <x:v>RER B</x:v>
      </x:c>
      <x:c r="F12" s="4" t="n">
        <x:v>4</x:v>
      </x:c>
      <x:c r="G12" s="4" t="n">
        <x:v>0</x:v>
      </x:c>
      <x:c r="H12" s="4" t="str">
        <x:v>Süre belirtilmemiş</x:v>
      </x:c>
      <x:c r="I12" s="4" t="str">
        <x:v>13–15</x:v>
      </x:c>
      <x:c r="J12" s="4" t="str">
        <x:v>18–27 dk + eve yakın istasyona yürüyüş</x:v>
      </x:c>
      <x:c r="K12" s="4" t="str">
        <x:v>5,00 / 42</x:v>
      </x:c>
      <x:c r="L12" s="4" t="str">
        <x:v>Yürüyüş mesafesi teyit edilmeli</x:v>
      </x:c>
      <x:c r="M12" s="9" t="str">
        <x:v>İlanı aç</x:v>
      </x:c>
      <x:c r="N12" s="8" t="n">
        <x:f>65000-C12</x:f>
        <x:v>2116</x:v>
      </x:c>
      <x:c r="O12" s="2"/>
      <x:c r="P12" s="2"/>
      <x:c r="Q12" s="2"/>
    </x:row>
    <x:row r="13" ht="66" customHeight="1">
      <x:c r="A13" s="4" t="str">
        <x:v>A04</x:v>
      </x:c>
      <x:c r="B13" s="4" t="str">
        <x:v>Châtenay-Malabry
Van Hien</x:v>
      </x:c>
      <x:c r="C13" s="8" t="n">
        <x:v>56381</x:v>
      </x:c>
      <x:c r="D13" s="8" t="n">
        <x:f>C13/3</x:f>
        <x:v>18793.666666666668</x:v>
      </x:c>
      <x:c r="E13" s="4" t="str">
        <x:v>T10 + RER B</x:v>
      </x:c>
      <x:c r="F13" s="4" t="n">
        <x:v>11</x:v>
      </x:c>
      <x:c r="G13" s="4" t="n">
        <x:v>1</x:v>
      </x:c>
      <x:c r="H13" s="4" t="str">
        <x:v>2 dk / 150 m (ilan)</x:v>
      </x:c>
      <x:c r="I13" s="4" t="str">
        <x:v>22–27</x:v>
      </x:c>
      <x:c r="J13" s="4" t="str">
        <x:v>35–54 dk</x:v>
      </x:c>
      <x:c r="K13" s="4" t="str">
        <x:v>4,92 / 79</x:v>
      </x:c>
      <x:c r="L13" s="4" t="str">
        <x:v>Tek aktarmalı alternatif</x:v>
      </x:c>
      <x:c r="M13" s="9" t="str">
        <x:v>İlanı aç</x:v>
      </x:c>
      <x:c r="N13" s="8" t="n">
        <x:f>65000-C13</x:f>
        <x:v>8619</x:v>
      </x:c>
      <x:c r="O13" s="2"/>
      <x:c r="P13" s="2"/>
      <x:c r="Q13" s="2"/>
    </x:row>
    <x:row r="14" ht="66" customHeight="1">
      <x:c r="A14" s="4" t="str">
        <x:v>A05</x:v>
      </x:c>
      <x:c r="B14" s="4" t="str">
        <x:v>Le Blanc-Mesnil
Michel</x:v>
      </x:c>
      <x:c r="C14" s="8" t="n">
        <x:v>53263</x:v>
      </x:c>
      <x:c r="D14" s="8" t="n">
        <x:f>C14/3</x:f>
        <x:v>17754.333333333332</x:v>
      </x:c>
      <x:c r="E14" s="4" t="str">
        <x:v>Otobüs 152 + RER B (olası)</x:v>
      </x:c>
      <x:c r="F14" s="4" t="str">
        <x:v>Otobüs durakları belirsiz; RER B 6</x:v>
      </x:c>
      <x:c r="G14" s="4" t="n">
        <x:v>1</x:v>
      </x:c>
      <x:c r="H14" s="4" t="str">
        <x:v>Otobüse 5 dk (ilan)</x:v>
      </x:c>
      <x:c r="I14" s="4" t="str">
        <x:v>Otobüs süresi + 19–22 dk RER</x:v>
      </x:c>
      <x:c r="J14" s="4" t="str">
        <x:v>Tam güzergâh teyit edilmeli</x:v>
      </x:c>
      <x:c r="K14" s="4" t="str">
        <x:v>4,95 / 220</x:v>
      </x:c>
      <x:c r="L14" s="4" t="str">
        <x:v>Yedek; otobüs gerekiyor</x:v>
      </x:c>
      <x:c r="M14" s="9" t="str">
        <x:v>İlanı aç</x:v>
      </x:c>
      <x:c r="N14" s="8" t="n">
        <x:f>65000-C14</x:f>
        <x:v>11737</x:v>
      </x:c>
      <x:c r="O14" s="2"/>
      <x:c r="P14" s="2"/>
      <x:c r="Q14" s="2"/>
    </x:row>
    <x:row r="15" ht="66" customHeight="1">
      <x:c r="A15" s="4" t="str">
        <x:v>A08</x:v>
      </x:c>
      <x:c r="B15" s="4" t="str">
        <x:v>Bagneux
Regiane</x:v>
      </x:c>
      <x:c r="C15" s="8" t="n">
        <x:v>62258</x:v>
      </x:c>
      <x:c r="D15" s="8" t="n">
        <x:f>C15/3</x:f>
        <x:v>20752.666666666668</x:v>
      </x:c>
      <x:c r="E15" s="4" t="str">
        <x:v>Metro 4</x:v>
      </x:c>
      <x:c r="F15" s="4" t="str">
        <x:v>12–13 (istasyona bağlı)</x:v>
      </x:c>
      <x:c r="G15" s="4" t="n">
        <x:v>0</x:v>
      </x:c>
      <x:c r="H15" s="4" t="str">
        <x:v>7 dk (ilan)</x:v>
      </x:c>
      <x:c r="I15" s="4" t="str">
        <x:v>20–25 (tahmin)</x:v>
      </x:c>
      <x:c r="J15" s="4" t="str">
        <x:v>37–49 dk (istasyon teyidine bağlı)</x:v>
      </x:c>
      <x:c r="K15" s="4" t="str">
        <x:v>4,97 / 29</x:v>
      </x:c>
      <x:c r="L15" s="4" t="str">
        <x:v>Yeni metro alternatifi; istasyonu teyit et</x:v>
      </x:c>
      <x:c r="M15" s="9" t="str">
        <x:v>İlanı aç</x:v>
      </x:c>
      <x:c r="N15" s="8" t="n">
        <x:f>65000-C15</x:f>
        <x:v>2742</x:v>
      </x:c>
      <x:c r="O15" s="2"/>
      <x:c r="P15" s="2"/>
      <x:c r="Q15" s="2"/>
    </x:row>
    <x:row r="16" ht="66" customHeight="1">
      <x:c r="A16" s="4" t="str">
        <x:v>E01</x:v>
      </x:c>
      <x:c r="B16" s="4" t="str">
        <x:v>Paris 17
Jean-Luc</x:v>
      </x:c>
      <x:c r="C16" s="8" t="n">
        <x:v>59187</x:v>
      </x:c>
      <x:c r="D16" s="8" t="n">
        <x:f>C16/3</x:f>
        <x:v>19729</x:v>
      </x:c>
      <x:c r="E16" s="4" t="str">
        <x:v>İncelenmedi</x:v>
      </x:c>
      <x:c r="F16" s="4"/>
      <x:c r="G16" s="4"/>
      <x:c r="H16" s="4" t="str">
        <x:v>İncelenmedi</x:v>
      </x:c>
      <x:c r="I16" s="4"/>
      <x:c r="J16" s="4" t="str">
        <x:v>İncelenmedi</x:v>
      </x:c>
      <x:c r="K16" s="4" t="str">
        <x:v>4,60 / 25</x:v>
      </x:c>
      <x:c r="L16" s="4" t="str">
        <x:v>ELENDİ: ikinci oda kapısız</x:v>
      </x:c>
      <x:c r="M16" s="9" t="str">
        <x:v>İlanı aç</x:v>
      </x:c>
      <x:c r="N16" s="8" t="n">
        <x:f>65000-C16</x:f>
        <x:v>5813</x:v>
      </x:c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</x:sheetData>
  <x:conditionalFormatting sqref="N8:N16">
    <x:cfRule type="cellIs" dxfId="0" priority="1" operator="lessThan">
      <x:formula>0</x:formula>
    </x:cfRule>
  </x:conditionalFormatting>
  <x:hyperlinks>
    <x:hyperlink xmlns:r="http://schemas.openxmlformats.org/officeDocument/2006/relationships" ref="M8" r:id="R6e029221688e418c"/>
    <x:hyperlink xmlns:r="http://schemas.openxmlformats.org/officeDocument/2006/relationships" ref="M9" r:id="R776f682d209a463f"/>
    <x:hyperlink xmlns:r="http://schemas.openxmlformats.org/officeDocument/2006/relationships" ref="M10" r:id="R4115c6122b094815"/>
    <x:hyperlink xmlns:r="http://schemas.openxmlformats.org/officeDocument/2006/relationships" ref="M11" r:id="R416c5ccfdb964ba6"/>
    <x:hyperlink xmlns:r="http://schemas.openxmlformats.org/officeDocument/2006/relationships" ref="M12" r:id="R33acd9bde03642e0"/>
    <x:hyperlink xmlns:r="http://schemas.openxmlformats.org/officeDocument/2006/relationships" ref="M13" r:id="R5980bbfb304048be"/>
    <x:hyperlink xmlns:r="http://schemas.openxmlformats.org/officeDocument/2006/relationships" ref="M14" r:id="R94caf9b795434b5f"/>
    <x:hyperlink xmlns:r="http://schemas.openxmlformats.org/officeDocument/2006/relationships" ref="M15" r:id="Raf3978d2fec34c69"/>
    <x:hyperlink xmlns:r="http://schemas.openxmlformats.org/officeDocument/2006/relationships" ref="M16" r:id="Rc57a5310e834452d"/>
  </x:hyperlinks>
  <x:pageMargins left="0.7" right="0.7" top="0.75" bottom="0.75" header="0.3" footer="0.3"/>
  <x:tableParts count="1">
    <x:tablePart xmlns:r="http://schemas.openxmlformats.org/officeDocument/2006/relationships" r:id="R4b9ddc5974aa420b"/>
  </x:tableParts>
</x:worksheet>
</file>

<file path=xl/worksheets/sheet2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5.329999923706055" hidden="0" customWidth="1"/>
    <x:col min="6" max="6" width="10.5600004196167" hidden="0" customWidth="1"/>
    <x:col min="7" max="7" width="10.5600004196167" hidden="0" customWidth="1"/>
    <x:col min="8" max="8" width="10.5600004196167" hidden="0" customWidth="1"/>
    <x:col min="9" max="9" width="10.5600004196167" hidden="0" customWidth="1"/>
    <x:col min="10" max="10" width="10.5600004196167" hidden="0" customWidth="1"/>
    <x:col min="11" max="11" width="10.5600004196167" hidden="0" customWidth="1"/>
    <x:col min="12" max="12" width="10.5600004196167" hidden="0" customWidth="1"/>
    <x:col min="13" max="13" width="10.5600004196167" hidden="0" customWidth="1"/>
    <x:col min="14" max="14" width="10.5600004196167" hidden="0" customWidth="1"/>
    <x:col min="15" max="15" width="10.5600004196167" hidden="0" customWidth="1"/>
    <x:col min="16" max="16" width="10.5600004196167" hidden="0" customWidth="1"/>
    <x:col min="17" max="17" width="10.5600004196167" hidden="0" customWidth="1"/>
    <x:col min="2" max="2" width="27.780000686645508" hidden="0" customWidth="1"/>
    <x:col min="3" max="3" width="18.889999389648438" hidden="0" customWidth="1"/>
    <x:col min="4" max="4" width="64.44000244140625" hidden="0" customWidth="1"/>
    <x:col min="5" max="5" width="18.8899993896484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Ulaşım hesabı ve ilan ayrıntıları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 t="str">
        <x:v>Durak sayısı: biniş hariç, iniş dâhil. RER, metrodan ayrı bir banliyö trenidir.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 t="str">
        <x:v>Toplam süre = eve yakın durağa yürüyüş + bekleme + araç süreleri + aktarma yürüyüşü + okul yürüyüşü.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Tam adrese ait kilometre ölçümü yapılmadı. İstasyona verilen yürüyüş süreleri ilan veya misafir yorumuna dayanır.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55" customHeight="1">
      <x:c r="A7" s="7" t="str">
        <x:v>ID</x:v>
      </x:c>
      <x:c r="B7" s="7" t="str">
        <x:v>Yatak düzeni / alan</x:v>
      </x:c>
      <x:c r="C7" s="7" t="str">
        <x:v>Biniş istasyonu</x:v>
      </x:c>
      <x:c r="D7" s="7" t="str">
        <x:v>Güzergâh ve duraklar</x:v>
      </x:c>
      <x:c r="E7" s="7" t="str">
        <x:v>Durak hesabı</x:v>
      </x:c>
      <x:c r="F7" s="7" t="str">
        <x:v>Eve yakın durağa yürüyüş min</x:v>
      </x:c>
      <x:c r="G7" s="7" t="str">
        <x:v>Yürüyüş max</x:v>
      </x:c>
      <x:c r="H7" s="7" t="str">
        <x:v>Araç içi min (dk)</x:v>
      </x:c>
      <x:c r="I7" s="7" t="str">
        <x:v>Araç içi max</x:v>
      </x:c>
      <x:c r="J7" s="7" t="str">
        <x:v>Bekleme min (dk)</x:v>
      </x:c>
      <x:c r="K7" s="7" t="str">
        <x:v>Bekleme max</x:v>
      </x:c>
      <x:c r="L7" s="7" t="str">
        <x:v>Aktarma yürüyüşü min</x:v>
      </x:c>
      <x:c r="M7" s="7" t="str">
        <x:v>Aktarma yürüyüşü max</x:v>
      </x:c>
      <x:c r="N7" s="7" t="str">
        <x:v>Okula yürüyüş min</x:v>
      </x:c>
      <x:c r="O7" s="7" t="str">
        <x:v>Okula yürüyüş max</x:v>
      </x:c>
      <x:c r="P7" s="7" t="str">
        <x:v>Toplam min (dk)</x:v>
      </x:c>
      <x:c r="Q7" s="7" t="str">
        <x:v>Toplam max (dk)</x:v>
      </x:c>
    </x:row>
    <x:row r="8" ht="115" customHeight="1">
      <x:c r="A8" s="4" t="str">
        <x:v>A01</x:v>
      </x:c>
      <x:c r="B8" s="4" t="str">
        <x:v>65 m². Oda 1: 1 çift yatak. Oda 2: 2 tek yatak.</x:v>
      </x:c>
      <x:c r="C8" s="4" t="str">
        <x:v>Fontenay-aux-Roses</x:v>
      </x:c>
      <x:c r="D8" s="4" t="str">
        <x:v>Fontenay-aux-Roses &gt; Sceaux &gt; Bourg-la-Reine &gt; Bagneux &gt; Arcueil-Cachan &gt; Laplace &gt; Gentilly &gt; Cité Universitaire &gt; Denfert-Rochereau &gt; Port-Royal &gt; Luxembourg. Ardından okula yürüyüş.</x:v>
      </x:c>
      <x:c r="E8" s="4" t="str">
        <x:v>RER B: 10 durak, iniş dâhil.</x:v>
      </x:c>
      <x:c r="F8" s="4" t="n">
        <x:v>5</x:v>
      </x:c>
      <x:c r="G8" s="4" t="n">
        <x:v>5</x:v>
      </x:c>
      <x:c r="H8" s="4" t="n">
        <x:v>19</x:v>
      </x:c>
      <x:c r="I8" s="4" t="n">
        <x:v>21</x:v>
      </x:c>
      <x:c r="J8" s="4" t="n">
        <x:v>3</x:v>
      </x:c>
      <x:c r="K8" s="4" t="n">
        <x:v>10</x:v>
      </x:c>
      <x:c r="L8" s="4" t="n">
        <x:v>0</x:v>
      </x:c>
      <x:c r="M8" s="4" t="n">
        <x:v>0</x:v>
      </x:c>
      <x:c r="N8" s="4" t="n">
        <x:v>2</x:v>
      </x:c>
      <x:c r="O8" s="4" t="n">
        <x:v>4</x:v>
      </x:c>
      <x:c r="P8" s="4" t="n">
        <x:f>SUM(F8,H8,J8,L8,N8)</x:f>
        <x:v>29</x:v>
      </x:c>
      <x:c r="Q8" s="4" t="n">
        <x:f>SUM(G8,I8,K8,M8,O8)</x:f>
        <x:v>40</x:v>
      </x:c>
    </x:row>
    <x:row r="9" ht="115" customHeight="1">
      <x:c r="A9" s="4" t="str">
        <x:v>A02</x:v>
      </x:c>
      <x:c r="B9" s="4" t="str">
        <x:v>60 m². İki ayrı yatak odasında birer çift yatak.</x:v>
      </x:c>
      <x:c r="C9" s="4" t="str">
        <x:v>Le Bourget</x:v>
      </x:c>
      <x:c r="D9" s="4" t="str">
        <x:v>Le Bourget &gt; La Courneuve-Aubervilliers &gt; La Plaine-Stade de France &gt; Gare du Nord &gt; Châtelet-Les Halles &gt; Saint-Michel-Notre-Dame &gt; Luxembourg. Ardından okula yürüyüş.</x:v>
      </x:c>
      <x:c r="E9" s="4" t="str">
        <x:v>RER B: 6 durak, iniş dâhil.</x:v>
      </x:c>
      <x:c r="F9" s="4" t="n">
        <x:v>3</x:v>
      </x:c>
      <x:c r="G9" s="4" t="n">
        <x:v>5</x:v>
      </x:c>
      <x:c r="H9" s="4" t="n">
        <x:v>19</x:v>
      </x:c>
      <x:c r="I9" s="4" t="n">
        <x:v>22</x:v>
      </x:c>
      <x:c r="J9" s="4" t="n">
        <x:v>3</x:v>
      </x:c>
      <x:c r="K9" s="4" t="n">
        <x:v>8</x:v>
      </x:c>
      <x:c r="L9" s="4" t="n">
        <x:v>0</x:v>
      </x:c>
      <x:c r="M9" s="4" t="n">
        <x:v>0</x:v>
      </x:c>
      <x:c r="N9" s="4" t="n">
        <x:v>2</x:v>
      </x:c>
      <x:c r="O9" s="4" t="n">
        <x:v>4</x:v>
      </x:c>
      <x:c r="P9" s="4" t="n">
        <x:f>SUM(F9,H9,J9,L9,N9)</x:f>
        <x:v>27</x:v>
      </x:c>
      <x:c r="Q9" s="4" t="n">
        <x:f>SUM(G9,I9,K9,M9,O9)</x:f>
        <x:v>39</x:v>
      </x:c>
    </x:row>
    <x:row r="10" ht="115" customHeight="1">
      <x:c r="A10" s="4" t="str">
        <x:v>A06</x:v>
      </x:c>
      <x:c r="B10" s="4" t="str">
        <x:v>Yaklaşık 70 m². İki kapılı yatak odası, 2 yatak. Bir odanın kapısı salona açılıyor.</x:v>
      </x:c>
      <x:c r="C10" s="4" t="str">
        <x:v>Arcueil-Cachan</x:v>
      </x:c>
      <x:c r="D10" s="4" t="str">
        <x:v>Arcueil-Cachan &gt; Laplace &gt; Gentilly &gt; Cité Universitaire &gt; Denfert-Rochereau &gt; Port-Royal &gt; Luxembourg. Ardından okula yürüyüş.</x:v>
      </x:c>
      <x:c r="E10" s="4" t="str">
        <x:v>RER B: 6 durak, iniş dâhil.</x:v>
      </x:c>
      <x:c r="F10" s="4" t="n">
        <x:v>5</x:v>
      </x:c>
      <x:c r="G10" s="4" t="n">
        <x:v>5</x:v>
      </x:c>
      <x:c r="H10" s="4" t="n">
        <x:v>11</x:v>
      </x:c>
      <x:c r="I10" s="4" t="n">
        <x:v>14</x:v>
      </x:c>
      <x:c r="J10" s="4" t="n">
        <x:v>3</x:v>
      </x:c>
      <x:c r="K10" s="4" t="n">
        <x:v>8</x:v>
      </x:c>
      <x:c r="L10" s="4" t="n">
        <x:v>0</x:v>
      </x:c>
      <x:c r="M10" s="4" t="n">
        <x:v>0</x:v>
      </x:c>
      <x:c r="N10" s="4" t="n">
        <x:v>2</x:v>
      </x:c>
      <x:c r="O10" s="4" t="n">
        <x:v>4</x:v>
      </x:c>
      <x:c r="P10" s="4" t="n">
        <x:f>SUM(F10,H10,J10,L10,N10)</x:f>
        <x:v>21</x:v>
      </x:c>
      <x:c r="Q10" s="4" t="n">
        <x:f>SUM(G10,I10,K10,M10,O10)</x:f>
        <x:v>31</x:v>
      </x:c>
    </x:row>
    <x:row r="11" ht="115" customHeight="1">
      <x:c r="A11" s="4" t="str">
        <x:v>A07</x:v>
      </x:c>
      <x:c r="B11" s="4" t="str">
        <x:v>İki ayrı yatak odası: 1 queen + 1 çift yatak. Bahçe ve otopark.</x:v>
      </x:c>
      <x:c r="C11" s="4" t="str">
        <x:v>Laplace</x:v>
      </x:c>
      <x:c r="D11" s="4" t="str">
        <x:v>Laplace &gt; Gentilly &gt; Cité Universitaire &gt; Denfert-Rochereau &gt; Port-Royal &gt; Luxembourg. Ardından okula yürüyüş.</x:v>
      </x:c>
      <x:c r="E11" s="4" t="str">
        <x:v>RER B: 5 durak, iniş dâhil.</x:v>
      </x:c>
      <x:c r="F11" s="4" t="n">
        <x:v>2</x:v>
      </x:c>
      <x:c r="G11" s="4" t="n">
        <x:v>3</x:v>
      </x:c>
      <x:c r="H11" s="4" t="n">
        <x:v>9</x:v>
      </x:c>
      <x:c r="I11" s="4" t="n">
        <x:v>12</x:v>
      </x:c>
      <x:c r="J11" s="4" t="n">
        <x:v>3</x:v>
      </x:c>
      <x:c r="K11" s="4" t="n">
        <x:v>8</x:v>
      </x:c>
      <x:c r="L11" s="4" t="n">
        <x:v>0</x:v>
      </x:c>
      <x:c r="M11" s="4" t="n">
        <x:v>0</x:v>
      </x:c>
      <x:c r="N11" s="4" t="n">
        <x:v>2</x:v>
      </x:c>
      <x:c r="O11" s="4" t="n">
        <x:v>4</x:v>
      </x:c>
      <x:c r="P11" s="4" t="n">
        <x:f>SUM(F11,H11,J11,L11,N11)</x:f>
        <x:v>16</x:v>
      </x:c>
      <x:c r="Q11" s="4" t="n">
        <x:f>SUM(G11,I11,K11,M11,O11)</x:f>
        <x:v>27</x:v>
      </x:c>
    </x:row>
    <x:row r="12" ht="115" customHeight="1">
      <x:c r="A12" s="4" t="str">
        <x:v>A03</x:v>
      </x:c>
      <x:c r="B12" s="4" t="str">
        <x:v>2 yatak odası, toplam 2 yatak. Yatak türü teyit edilmeli.</x:v>
      </x:c>
      <x:c r="C12" s="4" t="str">
        <x:v>La Plaine-Stade de France (planlanan)</x:v>
      </x:c>
      <x:c r="D12" s="4" t="str">
        <x:v>La Plaine-Stade de France &gt; Gare du Nord &gt; Châtelet-Les Halles &gt; Saint-Michel-Notre-Dame &gt; Luxembourg. Evden bu istasyona yürüyüş süresi belirtilmemiş.</x:v>
      </x:c>
      <x:c r="E12" s="4" t="str">
        <x:v>RER B: 4 durak, iniş dâhil.</x:v>
      </x:c>
      <x:c r="F12" s="4"/>
      <x:c r="G12" s="4"/>
      <x:c r="H12" s="4" t="n">
        <x:v>13</x:v>
      </x:c>
      <x:c r="I12" s="4" t="n">
        <x:v>15</x:v>
      </x:c>
      <x:c r="J12" s="4" t="n">
        <x:v>3</x:v>
      </x:c>
      <x:c r="K12" s="4" t="n">
        <x:v>8</x:v>
      </x:c>
      <x:c r="L12" s="4" t="n">
        <x:v>0</x:v>
      </x:c>
      <x:c r="M12" s="4" t="n">
        <x:v>0</x:v>
      </x:c>
      <x:c r="N12" s="4" t="n">
        <x:v>2</x:v>
      </x:c>
      <x:c r="O12" s="4" t="n">
        <x:v>4</x:v>
      </x:c>
      <x:c r="P12" s="4" t="str">
        <x:v>Belirsiz</x:v>
      </x:c>
      <x:c r="Q12" s="4" t="str">
        <x:v>Belirsiz</x:v>
      </x:c>
    </x:row>
    <x:row r="13" ht="115" customHeight="1">
      <x:c r="A13" s="4" t="str">
        <x:v>A04</x:v>
      </x:c>
      <x:c r="B13" s="4" t="str">
        <x:v>61 m². Oda 1: 160×200 cm. Oda 2: 140×200 cm yatak.</x:v>
      </x:c>
      <x:c r="C13" s="4" t="str">
        <x:v>T10 La Vallée; RER B La Croix de Berny</x:v>
      </x:c>
      <x:c r="D13" s="4" t="str">
        <x:v>T10: La Vallée &gt; La Croix de Berny (1 durak). RER B: La Croix de Berny &gt; Parc de Sceaux &gt; Bourg-la-Reine &gt; Bagneux &gt; Arcueil-Cachan &gt; Laplace &gt; Gentilly &gt; Cité Universitaire &gt; Denfert-Rochereau &gt; Port-Royal &gt; Luxembourg.</x:v>
      </x:c>
      <x:c r="E13" s="4" t="str">
        <x:v>T10: 1 + RER B: 10 = 11. Bazı RER seferleri ara istasyon atlayabilir.</x:v>
      </x:c>
      <x:c r="F13" s="4" t="n">
        <x:v>2</x:v>
      </x:c>
      <x:c r="G13" s="4" t="n">
        <x:v>3</x:v>
      </x:c>
      <x:c r="H13" s="4" t="n">
        <x:v>22</x:v>
      </x:c>
      <x:c r="I13" s="4" t="n">
        <x:v>27</x:v>
      </x:c>
      <x:c r="J13" s="4" t="n">
        <x:v>6</x:v>
      </x:c>
      <x:c r="K13" s="4" t="n">
        <x:v>15</x:v>
      </x:c>
      <x:c r="L13" s="4" t="n">
        <x:v>3</x:v>
      </x:c>
      <x:c r="M13" s="4" t="n">
        <x:v>5</x:v>
      </x:c>
      <x:c r="N13" s="4" t="n">
        <x:v>2</x:v>
      </x:c>
      <x:c r="O13" s="4" t="n">
        <x:v>4</x:v>
      </x:c>
      <x:c r="P13" s="4" t="n">
        <x:f>SUM(F13,H13,J13,L13,N13)</x:f>
        <x:v>35</x:v>
      </x:c>
      <x:c r="Q13" s="4" t="n">
        <x:f>SUM(G13,I13,K13,M13,O13)</x:f>
        <x:v>54</x:v>
      </x:c>
    </x:row>
    <x:row r="14" ht="115" customHeight="1">
      <x:c r="A14" s="4" t="str">
        <x:v>A05</x:v>
      </x:c>
      <x:c r="B14" s="4" t="str">
        <x:v>62 m². İki ayrı odada 1 queen ve 1 çift yatak.</x:v>
      </x:c>
      <x:c r="C14" s="4" t="str">
        <x:v>Otobüs durağı adı belirtilmemiş; Le Bourget RER olası</x:v>
      </x:c>
      <x:c r="D14" s="4" t="str">
        <x:v>Olası seçenek: eve yakın 152 otobüsü &gt; Le Bourget RER B &gt; Luxembourg. Tam ev konumu ve otobüs durağı seçilmediği için otobüs durak sayısı ve toplam süre kesinleştirilmedi.</x:v>
      </x:c>
      <x:c r="E14" s="4" t="str">
        <x:v>Olası RER B kesimi 6 durak. Otobüs kısmı belirsiz.</x:v>
      </x:c>
      <x:c r="F14" s="4" t="n">
        <x:v>5</x:v>
      </x:c>
      <x:c r="G14" s="4" t="n">
        <x:v>5</x:v>
      </x:c>
      <x:c r="H14" s="4"/>
      <x:c r="I14" s="4"/>
      <x:c r="J14" s="4"/>
      <x:c r="K14" s="4"/>
      <x:c r="L14" s="4"/>
      <x:c r="M14" s="4"/>
      <x:c r="N14" s="4" t="n">
        <x:v>2</x:v>
      </x:c>
      <x:c r="O14" s="4" t="n">
        <x:v>4</x:v>
      </x:c>
      <x:c r="P14" s="4" t="str">
        <x:v>Belirsiz</x:v>
      </x:c>
      <x:c r="Q14" s="4" t="str">
        <x:v>Belirsiz</x:v>
      </x:c>
    </x:row>
    <x:row r="15" ht="115" customHeight="1">
      <x:c r="A15" s="4" t="str">
        <x:v>A08</x:v>
      </x:c>
      <x:c r="B15" s="4" t="str">
        <x:v>67 m² daire + 80 m² teras. 2 ayrı oda; 1 çift yatak ve 1 tek/140 cm açılır yatak (ilan çelişkili).</x:v>
      </x:c>
      <x:c r="C15" s="4" t="str">
        <x:v>Bagneux-Lucie Aubrac veya Barbara; teyit gerekli</x:v>
      </x:c>
      <x:c r="D15" s="4" t="str">
        <x:v>Metro 4, Porte de Clignancourt yönü &gt; Odéon. Bagneux-Lucie Aubrac &gt; Barbara &gt; Mairie de Montrouge &gt; Porte d’Orléans &gt; Alésia &gt; Mouton-Duvernet &gt; Denfert-Rochereau &gt; Raspail &gt; Vavin &gt; Montparnasse-Bienvenüe &gt; Saint-Placide &gt; Saint-Sulpice &gt; Saint-Germain-des-Prés &gt; Odéon. Okula yürüyüş.</x:v>
      </x:c>
      <x:c r="E15" s="4" t="str">
        <x:v>Bagneux-Lucie Aubrac biniş: 13. Barbara biniş: 12. İniş dâhil.</x:v>
      </x:c>
      <x:c r="F15" s="4" t="n">
        <x:v>7</x:v>
      </x:c>
      <x:c r="G15" s="4" t="n">
        <x:v>7</x:v>
      </x:c>
      <x:c r="H15" s="4" t="n">
        <x:v>20</x:v>
      </x:c>
      <x:c r="I15" s="4" t="n">
        <x:v>25</x:v>
      </x:c>
      <x:c r="J15" s="4" t="n">
        <x:v>2</x:v>
      </x:c>
      <x:c r="K15" s="4" t="n">
        <x:v>5</x:v>
      </x:c>
      <x:c r="L15" s="4" t="n">
        <x:v>0</x:v>
      </x:c>
      <x:c r="M15" s="4" t="n">
        <x:v>0</x:v>
      </x:c>
      <x:c r="N15" s="4" t="n">
        <x:v>8</x:v>
      </x:c>
      <x:c r="O15" s="4" t="n">
        <x:v>12</x:v>
      </x:c>
      <x:c r="P15" s="4" t="n">
        <x:f>SUM(F15,H15,J15,L15,N15)</x:f>
        <x:v>37</x:v>
      </x:c>
      <x:c r="Q15" s="4" t="n">
        <x:f>SUM(G15,I15,K15,M15,O15)</x:f>
        <x:v>49</x:v>
      </x:c>
    </x:row>
    <x:row r="16" ht="115" customHeight="1">
      <x:c r="A16" s="4" t="str">
        <x:v>E01</x:v>
      </x:c>
      <x:c r="B16" s="4" t="str">
        <x:v>1 çift + 1 tek yatak. İkinci alan kapısız geçiş alanı.</x:v>
      </x:c>
      <x:c r="C16" s="4" t="str">
        <x:v>İncelenmedi</x:v>
      </x:c>
      <x:c r="D16" s="4" t="str">
        <x:v>İki ayrı yatak odası şartını sağlamadığı için ulaşım hesabına alınmadı.</x:v>
      </x:c>
      <x:c r="E16" s="4" t="str">
        <x:v>Uygulanmaz.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 t="str">
        <x:v>Belirsiz</x:v>
      </x:c>
      <x:c r="Q16" s="4" t="str">
        <x:v>Belirsiz</x:v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10" t="str">
        <x:v>İlan notları ve kaynaklar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30" customHeight="1">
      <x:c r="A21" s="12" t="str">
        <x:v>ID</x:v>
      </x:c>
      <x:c r="B21" s="12" t="str">
        <x:v>Kontrol notu</x:v>
      </x:c>
      <x:c r="C21" s="12" t="str">
        <x:v>İptal koşulu / eksik bilgi</x:v>
      </x:c>
      <x:c r="D21" s="12" t="str">
        <x:v>İlan kaynağı</x:v>
      </x:c>
      <x:c r="E21" s="12" t="str">
        <x:v>Ulaşım kaynağı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145" customHeight="1">
      <x:c r="A22" s="4" t="str">
        <x:v>A01</x:v>
      </x:c>
      <x:c r="B22" s="4" t="str">
        <x:v>Tarihler, 3 kişi ve toplam fiyat ilan rezervasyon kutusunda görüldü. 3. katta. Dönüşte Robinson koluna giden trene binilmeli.</x:v>
      </x:c>
      <x:c r="C22" s="4" t="str">
        <x:v>Yalnızca rezervasyon sonrası 24 saat ücretsiz iptal, sonra iadesiz.</x:v>
      </x:c>
      <x:c r="D22" s="4" t="str">
        <x:v>Airbnb ilanı</x:v>
      </x:c>
      <x:c r="E22" s="4" t="str">
        <x:v>https://www.horaires-de-trains.fr/horaires_rerb-Fontenay_Aux_Roses-Luxembourg.html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145" customHeight="1">
      <x:c r="A23" s="4" t="str">
        <x:v>A02</x:v>
      </x:c>
      <x:c r="B23" s="4" t="str">
        <x:v>13–22 Kasım ve 3 kişi için toplam fiyat doğrudan ilanda görüldü. Yakın tarihli misafir yorumu arka kapıdan istasyona 3 dk diyor.</x:v>
      </x:c>
      <x:c r="C23" s="4" t="str">
        <x:v>Ücretsiz iptal son gün: 12 Kasım 2026.</x:v>
      </x:c>
      <x:c r="D23" s="4" t="str">
        <x:v>Airbnb ilanı</x:v>
      </x:c>
      <x:c r="E23" s="4" t="str">
        <x:v>https://www.horaires-de-trains.fr/horaires_rerb-Le_Bourget-Luxembourg.html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145" customHeight="1">
      <x:c r="A24" s="4" t="str">
        <x:v>A06</x:v>
      </x:c>
      <x:c r="B24" s="4" t="str">
        <x:v>13–22 Kasım, 3 kişi ve toplam fiyat ilanda görüldü. İki odanın da kapısı var. Asansör mevcut. En erken giriş 20.00.</x:v>
      </x:c>
      <x:c r="C24" s="4" t="str">
        <x:v>Ücretsiz iptal son gün: 8 Kasım 2026.</x:v>
      </x:c>
      <x:c r="D24" s="4" t="str">
        <x:v>Airbnb ilanı</x:v>
      </x:c>
      <x:c r="E24" s="4" t="str">
        <x:v>https://www.horaires-de-trains.fr/horaires_rerb-Arcueil_Cachan-Luxembourg.html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145" customHeight="1">
      <x:c r="A25" s="4" t="str">
        <x:v>A07</x:v>
      </x:c>
      <x:c r="B25" s="4" t="str">
        <x:v>61.880 TL tarihli 9 gecelik arama sonucunda görüldü. İlan açıklaması 2 dk, başlık 3 dk RER diyor. Ağustos 2026’da evin durumu nedeniyle kalmadığını söyleyen 1 yıldızlı yorum var.</x:v>
      </x:c>
      <x:c r="C25" s="4" t="str">
        <x:v>Arama sonucunda ücretsiz iptal etiketi var. Son tarih doğrulanmadı.</x:v>
      </x:c>
      <x:c r="D25" s="4" t="str">
        <x:v>Airbnb ilanı</x:v>
      </x:c>
      <x:c r="E25" s="4" t="str">
        <x:v>https://www.horaires-de-trains.fr/horaires_rerb-Arcueil_Cachan-Luxembourg.html (Laplace ara istasyonundan Luxembourg’a 9 dk)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145" customHeight="1">
      <x:c r="A26" s="4" t="str">
        <x:v>A03</x:v>
      </x:c>
      <x:c r="B26" s="4" t="str">
        <x:v>Fiyat tarihli arama sonucunda görüldü. İlanda B ve D ile metro 12’ye yürünebildiği yazıyor. Kullanılacak B istasyonu ve evden yürüyüş teyit edilmeli.</x:v>
      </x:c>
      <x:c r="C26" s="4" t="str">
        <x:v>Arama sonucunda ücretsiz iptal etiketi var. Son tarih doğrulanmadı.</x:v>
      </x:c>
      <x:c r="D26" s="4" t="str">
        <x:v>Airbnb ilanı</x:v>
      </x:c>
      <x:c r="E26" s="4" t="str">
        <x:v>https://www.horaires-de-trains.fr/horaires_rerb-La_Plaine_Stade_de_France-Luxembourg.html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145" customHeight="1">
      <x:c r="A27" s="4" t="str">
        <x:v>A04</x:v>
      </x:c>
      <x:c r="B27" s="4" t="str">
        <x:v>Fiyat tarihli arama sonucunda görüldü. 150 m tramvay mesafesi ilanda. RER B ve tramvay süreleri planlama tahmini, Kasım seferi seçilmedi.</x:v>
      </x:c>
      <x:c r="C27" s="4" t="str">
        <x:v>Arama sonucunda ücretsiz iptal etiketi var. Son tarih doğrulanmadı.</x:v>
      </x:c>
      <x:c r="D27" s="4" t="str">
        <x:v>Airbnb ilanı</x:v>
      </x:c>
      <x:c r="E27" s="4" t="str">
        <x:v>https://www.transilien.com/fr/page-lignes/tramway-t10 ; https://www.ratp.fr/vos-lignes/rer/b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145" customHeight="1">
      <x:c r="A28" s="4" t="str">
        <x:v>A05</x:v>
      </x:c>
      <x:c r="B28" s="4" t="str">
        <x:v>13–22 Kasım, 3 kişi ve 53.263 TL ilanda görüldü. Hava ve Uzay Müzesi’ne 8 dk yürüyüş. İlandaki RER’e 8 dk ifadesi ARABAYLA; yürüyüş değil.</x:v>
      </x:c>
      <x:c r="C28" s="4" t="str">
        <x:v>Ücretsiz iptal son gün: 8 Kasım 2026.</x:v>
      </x:c>
      <x:c r="D28" s="4" t="str">
        <x:v>Airbnb ilanı</x:v>
      </x:c>
      <x:c r="E28" s="4" t="str">
        <x:v>https://www.museeairespace.fr/visiteurs/acces/en-rer/ ; https://www.horaires-de-trains.fr/horaires_rerb-Le_Bourget-Luxembourg.html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145" customHeight="1">
      <x:c r="A29" s="4" t="str">
        <x:v>A08</x:v>
      </x:c>
      <x:c r="B29" s="4" t="str">
        <x:v>62.258 TL, tarihli 9 gecelik arama sonucunda görüldü. 4,97 puan, 29 yorum. Metro 4’e 7 dk yazıyor ancak istasyon ismi yok. İlandaki RER A ifadesi coğrafi olarak tutarsız; bu ifadeye dayanılmadı.</x:v>
      </x:c>
      <x:c r="C29" s="4" t="str">
        <x:v>Arama sonucunda ücretsiz iptal etiketi var. Son tarih doğrulanmadı.</x:v>
      </x:c>
      <x:c r="D29" s="4" t="str">
        <x:v>Airbnb ilanı</x:v>
      </x:c>
      <x:c r="E29" s="4" t="str">
        <x:v>https://www.ratp.fr/vos-lignes/metro/4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145" customHeight="1">
      <x:c r="A30" s="4" t="str">
        <x:v>E01</x:v>
      </x:c>
      <x:c r="B30" s="4" t="str">
        <x:v>İlan 2 yatak odası diyor. Eylül 2026 misafir yorumu ikinci odanın kapısız ve geçiş alanı olduğunu açıkça belirtiyor. 5. kat, asansör yok.</x:v>
      </x:c>
      <x:c r="C30" s="4" t="str">
        <x:v>Ücretsiz iptal son gün: 8 Kasım 2026.</x:v>
      </x:c>
      <x:c r="D30" s="4" t="str">
        <x:v>Airbnb ilanı</x:v>
      </x:c>
      <x:c r="E30" s="4" t="str">
        <x:v>Uygulanmaz.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</x:sheetData>
  <x:hyperlinks>
    <x:hyperlink xmlns:r="http://schemas.openxmlformats.org/officeDocument/2006/relationships" ref="D22" r:id="R96090e7197974f2a"/>
    <x:hyperlink xmlns:r="http://schemas.openxmlformats.org/officeDocument/2006/relationships" ref="D23" r:id="R519337281522405a"/>
    <x:hyperlink xmlns:r="http://schemas.openxmlformats.org/officeDocument/2006/relationships" ref="D24" r:id="R51403340d6ca40bc"/>
    <x:hyperlink xmlns:r="http://schemas.openxmlformats.org/officeDocument/2006/relationships" ref="D25" r:id="R63c923ada0674640"/>
    <x:hyperlink xmlns:r="http://schemas.openxmlformats.org/officeDocument/2006/relationships" ref="D26" r:id="Rc1e8cf02fff74188"/>
    <x:hyperlink xmlns:r="http://schemas.openxmlformats.org/officeDocument/2006/relationships" ref="D27" r:id="Ra86de977fd124d37"/>
    <x:hyperlink xmlns:r="http://schemas.openxmlformats.org/officeDocument/2006/relationships" ref="D28" r:id="R6126c239982e4926"/>
    <x:hyperlink xmlns:r="http://schemas.openxmlformats.org/officeDocument/2006/relationships" ref="D29" r:id="R8c8984df825d499c"/>
    <x:hyperlink xmlns:r="http://schemas.openxmlformats.org/officeDocument/2006/relationships" ref="D30" r:id="Rbee23c5d5ff54d06"/>
  </x:hyperlinks>
  <x:pageMargins left="0.7" right="0.7" top="0.75" bottom="0.75" header="0.3" footer="0.3"/>
  <x:tableParts count="1">
    <x:tablePart xmlns:r="http://schemas.openxmlformats.org/officeDocument/2006/relationships" r:id="Rb2121b7df285451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890000343322754" hidden="0" customWidth="1"/>
    <x:col min="2" max="2" width="23.329999923706055" hidden="0" customWidth="1"/>
    <x:col min="3" max="3" width="14.4399995803833" hidden="0" customWidth="1"/>
    <x:col min="4" max="4" width="13.329999923706055" hidden="0" customWidth="1"/>
    <x:col min="5" max="5" width="13.329999923706055" hidden="0" customWidth="1"/>
    <x:col min="6" max="6" width="21.110000610351562" hidden="0" customWidth="1"/>
    <x:col min="7" max="7" width="11.109999656677246" hidden="0" customWidth="1"/>
    <x:col min="8" max="8" width="47.779998779296875" hidden="0" customWidth="1"/>
    <x:col min="9" max="9" width="46.66999816894531" hidden="0" customWidth="1"/>
    <x:col min="10" max="10" width="33.33000183105469" hidden="0" customWidth="1"/>
    <x:col min="11" max="11" width="12.220000267028809" hidden="0" customWidth="1"/>
    <x:col min="12" max="12" width="12.220000267028809" hidden="0" customWidth="1"/>
    <x:col min="13" max="13" width="17.780000686645508" hidden="0" customWidth="1"/>
    <x:col min="14" max="14" width="48.88999938964844" hidden="0" customWidth="1"/>
  </x:cols>
  <x:sheetData>
    <x:row r="2">
      <x:c r="A2" s="13" t="str">
        <x:v>Gönderdiğin 27 ilanın tamamı — 13–22 Kasım 2026, 3 yetişkin</x:v>
      </x:c>
    </x:row>
    <x:row r="3">
      <x:c r="A3" t="str">
        <x:v>11 Booking + 16 Airbnb = 27 ilan. Fiyat, vergi, oda ve bağlantılar aynı tabloda; sağa kaydırarak ulaşım ve yorumları görebilirsin.</x:v>
      </x:c>
    </x:row>
    <x:row r="4">
      <x:c r="A4" t="str">
        <x:v>27 ilanın fiyat, oda ve koşulları 27 Ekim 2026 itibarıyla incelendi. Boş veya doğrulanamadı yazan bilgiler eksiktir; fiyatlar ve müsaitlik değişebilir.</x:v>
      </x:c>
    </x:row>
    <x:row r="6" ht="42" customHeight="1">
      <x:c r="A6" s="16" t="str">
        <x:v>Platform</x:v>
      </x:c>
      <x:c r="B6" s="16" t="str">
        <x:v>İlan</x:v>
      </x:c>
      <x:c r="C6" s="16" t="str">
        <x:v>Temel / toplam (TL)</x:v>
      </x:c>
      <x:c r="D6" s="16" t="str">
        <x:v>Vergi ek (TL)</x:v>
      </x:c>
      <x:c r="E6" s="16" t="str">
        <x:v>Toplam (TL)</x:v>
      </x:c>
      <x:c r="F6" s="16" t="str">
        <x:v>Oda düzeni</x:v>
      </x:c>
      <x:c r="G6" s="16" t="str">
        <x:v>Puan / yorum</x:v>
      </x:c>
      <x:c r="H6" s="16" t="str">
        <x:v>Notlar</x:v>
      </x:c>
      <x:c r="I6" s="16" t="str">
        <x:v>İlan bağlantısı</x:v>
      </x:c>
      <x:c r="J6" s="22" t="str">
        <x:v>Ulaşım / mahalle</x:v>
      </x:c>
      <x:c r="K6" s="22" t="str">
        <x:v>Durak</x:v>
      </x:c>
      <x:c r="L6" s="22" t="str">
        <x:v>Aktarma</x:v>
      </x:c>
      <x:c r="M6" s="22" t="str">
        <x:v>Kapıdan kapıya</x:v>
      </x:c>
      <x:c r="N6" s="22" t="str">
        <x:v>Konuk yorumları ve dikkat</x:v>
      </x:c>
    </x:row>
    <x:row r="7" ht="105" customHeight="1">
      <x:c r="A7" s="18" t="str">
        <x:v>Booking</x:v>
      </x:c>
      <x:c r="B7" s="18" t="str">
        <x:v>Le Jardin Edgar Malakoff</x:v>
      </x:c>
      <x:c r="C7" s="19" t="n">
        <x:v>38935</x:v>
      </x:c>
      <x:c r="D7" s="19" t="n">
        <x:v>7977</x:v>
      </x:c>
      <x:c r="E7" s="19" t="n">
        <x:f>IF(C7="","",IF(A7="Airbnb",C7,IF(D7="","",C7+D7)))</x:f>
        <x:v>46912</x:v>
      </x:c>
      <x:c r="F7" s="18" t="str">
        <x:v>1 oda + salon</x:v>
      </x:c>
      <x:c r="G7" s="18" t="str">
        <x:v>6,2 / 14</x:v>
      </x:c>
      <x:c r="H7" s="18" t="str">
        <x:v>250 € kart depozitosu; 18 yaş; 2 yatak odası şartını sağlamıyor.</x:v>
      </x:c>
      <x:c r="I7" s="18" t="str">
        <x:v>https://www.booking.com/hotel/fr/le-jardin-edgar-malakoff.tr.html</x:v>
      </x:c>
      <x:c r="J7" s="18" t="str">
        <x:v>Malakoff; rota doğrulanamadı</x:v>
      </x:c>
      <x:c r="K7" s="18" t="str">
        <x:v>Bilinmiyor</x:v>
      </x:c>
      <x:c r="L7" s="18" t="str">
        <x:v>Bilinmiyor</x:v>
      </x:c>
      <x:c r="M7" s="18" t="str">
        <x:v>Bilinmiyor</x:v>
      </x:c>
      <x:c r="N7" s="18" t="str">
        <x:v>6,2/10; temizlik 7,1, konum 8,1. Ayrıntılı yorum gösterilmedi.</x:v>
      </x:c>
    </x:row>
    <x:row r="8" ht="105" customHeight="1">
      <x:c r="A8" s="18" t="str">
        <x:v>Booking</x:v>
      </x:c>
      <x:c r="B8" s="18" t="str">
        <x:v>Parc Montsouris Paris</x:v>
      </x:c>
      <x:c r="C8" s="19" t="n">
        <x:v>49606</x:v>
      </x:c>
      <x:c r="D8" s="19" t="n">
        <x:v>11343</x:v>
      </x:c>
      <x:c r="E8" s="19" t="n">
        <x:f>IF(C8="","",IF(A8="Airbnb",C8,IF(D8="","",C8+D8)))</x:f>
        <x:v>60949</x:v>
      </x:c>
      <x:c r="F8" s="18" t="str">
        <x:v>1 oda + salon</x:v>
      </x:c>
      <x:c r="G8" s="18" t="str">
        <x:v>6,4 / 26</x:v>
      </x:c>
      <x:c r="H8" s="18" t="str">
        <x:v>500 € kart depozitosu; ilk fiyat iptal şartı kontrol edilmeli; 2 yatak odası yok.</x:v>
      </x:c>
      <x:c r="I8" s="18" t="str">
        <x:v>https://www.booking.com/hotel/fr/parc-montsouris-paris.tr.html</x:v>
      </x:c>
      <x:c r="J8" s="18" t="str">
        <x:v>Paris 14; rota doğrulanamadı</x:v>
      </x:c>
      <x:c r="K8" s="18" t="str">
        <x:v>Bilinmiyor</x:v>
      </x:c>
      <x:c r="L8" s="18" t="str">
        <x:v>Bilinmiyor</x:v>
      </x:c>
      <x:c r="M8" s="18" t="str">
        <x:v>Bilinmiyor</x:v>
      </x:c>
      <x:c r="N8" s="18" t="str">
        <x:v>6,4/10; temizlik 6,8, konum 7,8. İadesiz fiyat; iade edilebilir seçenek 67.357 TL.</x:v>
      </x:c>
    </x:row>
    <x:row r="9" ht="105" customHeight="1">
      <x:c r="A9" s="18" t="str">
        <x:v>Booking</x:v>
      </x:c>
      <x:c r="B9" s="18" t="str">
        <x:v>Le Champs-Elysees Cité universitaire</x:v>
      </x:c>
      <x:c r="C9" s="19"/>
      <x:c r="D9" s="19" t="n">
        <x:v>10476</x:v>
      </x:c>
      <x:c r="E9" s="19" t="str">
        <x:f>IF(C9="","",IF(A9="Airbnb",C9,IF(D9="","",C9+D9)))</x:f>
      </x:c>
      <x:c r="F9" s="18" t="str">
        <x:v>1 oda + salon</x:v>
      </x:c>
      <x:c r="G9" s="18" t="str">
        <x:v>7,7 / 46</x:v>
      </x:c>
      <x:c r="H9" s="18" t="str">
        <x:v>250 € depozito; ana fiyat okunamadı; 2 yatak odası yok.</x:v>
      </x:c>
      <x:c r="I9" s="18" t="str">
        <x:v>https://www.booking.com/hotel/fr/le-champs-elysees-cite-universitaire-paris-14.tr.html</x:v>
      </x:c>
      <x:c r="J9" s="18" t="str">
        <x:v>Gentilly RER yakınlığı yorumlarda geçiyor</x:v>
      </x:c>
      <x:c r="K9" s="18" t="str">
        <x:v>Bilinmiyor</x:v>
      </x:c>
      <x:c r="L9" s="18" t="str">
        <x:v>Bilinmiyor</x:v>
      </x:c>
      <x:c r="M9" s="18" t="str">
        <x:v>Bilinmiyor</x:v>
      </x:c>
      <x:c r="N9" s="18" t="str">
        <x:v>Modern, temiz ve donanımlı olduğu; Gentilly RER yakınlığı övülüyor.</x:v>
      </x:c>
    </x:row>
    <x:row r="10" ht="105" customHeight="1">
      <x:c r="A10" s="18" t="str">
        <x:v>Booking</x:v>
      </x:c>
      <x:c r="B10" s="18" t="str">
        <x:v>Nid Parisien Cachan</x:v>
      </x:c>
      <x:c r="C10" s="19" t="n">
        <x:v>47308</x:v>
      </x:c>
      <x:c r="D10" s="19" t="n">
        <x:v>9214</x:v>
      </x:c>
      <x:c r="E10" s="19" t="n">
        <x:f>IF(C10="","",IF(A10="Airbnb",C10,IF(D10="","",C10+D10)))</x:f>
        <x:v>56522</x:v>
      </x:c>
      <x:c r="F10" s="18" t="str">
        <x:v>1 oda + salon</x:v>
      </x:c>
      <x:c r="G10" s="18" t="str">
        <x:v>7,4 / 9</x:v>
      </x:c>
      <x:c r="H10" s="18" t="str">
        <x:v>18 yaş; 2 yatak odası yok.</x:v>
      </x:c>
      <x:c r="I10" s="18" t="str">
        <x:v>https://www.booking.com/hotel/fr/nid-parisien-cachan.tr.html</x:v>
      </x:c>
      <x:c r="J10" s="18" t="str">
        <x:v>Cachan; istasyon ve rota doğrulanamadı</x:v>
      </x:c>
      <x:c r="K10" s="18" t="str">
        <x:v>Bilinmiyor</x:v>
      </x:c>
      <x:c r="L10" s="18" t="str">
        <x:v>Bilinmiyor</x:v>
      </x:c>
      <x:c r="M10" s="18" t="str">
        <x:v>Bilinmiyor</x:v>
      </x:c>
      <x:c r="N10" s="18" t="str">
        <x:v>Konum 9,4; temizlik 8,1; Wi-Fi 5,0.</x:v>
      </x:c>
    </x:row>
    <x:row r="11" ht="105" customHeight="1">
      <x:c r="A11" s="18" t="str">
        <x:v>Booking</x:v>
      </x:c>
      <x:c r="B11" s="18" t="str">
        <x:v>T2 Coteau Cachan</x:v>
      </x:c>
      <x:c r="C11" s="19" t="n">
        <x:v>37446</x:v>
      </x:c>
      <x:c r="D11" s="19" t="n">
        <x:v>9144</x:v>
      </x:c>
      <x:c r="E11" s="19" t="n">
        <x:f>IF(C11="","",IF(A11="Airbnb",C11,IF(D11="","",C11+D11)))</x:f>
        <x:v>46590</x:v>
      </x:c>
      <x:c r="F11" s="18" t="str">
        <x:v>1 oda, 2 yatak</x:v>
      </x:c>
      <x:c r="G11" s="18" t="str">
        <x:v>9,0 / 2</x:v>
      </x:c>
      <x:c r="H11" s="18" t="str">
        <x:v>İki yatak aynı odada; 2 yatak odası yok.</x:v>
      </x:c>
      <x:c r="I11" s="18" t="str">
        <x:v>https://www.booking.com/hotel/fr/t2-coteau-cachan.tr.html</x:v>
      </x:c>
      <x:c r="J11" s="18" t="str">
        <x:v>Cachan; rota doğrulanamadı</x:v>
      </x:c>
      <x:c r="K11" s="18" t="str">
        <x:v>Bilinmiyor</x:v>
      </x:c>
      <x:c r="L11" s="18" t="str">
        <x:v>Bilinmiyor</x:v>
      </x:c>
      <x:c r="M11" s="18" t="str">
        <x:v>Bilinmiyor</x:v>
      </x:c>
      <x:c r="N11" s="18" t="str">
        <x:v>Yalnızca 2 yorum; bir konuk aydınlık ev, yeni ekipman ve yakın dükkânları sevmiş.</x:v>
      </x:c>
    </x:row>
    <x:row r="12" ht="105" customHeight="1">
      <x:c r="A12" s="18" t="str">
        <x:v>Booking</x:v>
      </x:c>
      <x:c r="B12" s="18" t="str">
        <x:v>F3 next to RER B Antony</x:v>
      </x:c>
      <x:c r="C12" s="19" t="n">
        <x:v>51063</x:v>
      </x:c>
      <x:c r="D12" s="19" t="n">
        <x:v>7543</x:v>
      </x:c>
      <x:c r="E12" s="19" t="n">
        <x:f>IF(C12="","",IF(A12="Airbnb",C12,IF(D12="","",C12+D12)))</x:f>
        <x:v>58606</x:v>
      </x:c>
      <x:c r="F12" s="18" t="str">
        <x:v>2 ayrı oda</x:v>
      </x:c>
      <x:c r="G12" s="18" t="str">
        <x:v>8,0 / 29</x:v>
      </x:c>
      <x:c r="H12" s="18" t="str">
        <x:v>25 yaş altı check-in yapılamıyor; 200 € nakit depozito; rezervasyon talebi; 10 Kasım öncesi ücretsiz iptal koşulunu kontrol et.</x:v>
      </x:c>
      <x:c r="I12" s="18" t="str">
        <x:v>https://www.booking.com/hotel/fr/entire-apartment-f3-next-to-rer-b-antony.tr.html</x:v>
      </x:c>
      <x:c r="J12" s="18" t="str">
        <x:v>Les Baconnets RER B 600 m; Luxembourg yönü</x:v>
      </x:c>
      <x:c r="K12" s="18" t="str">
        <x:v>Doğrulanmadı</x:v>
      </x:c>
      <x:c r="L12" s="18" t="str">
        <x:v>0</x:v>
      </x:c>
      <x:c r="M12" s="18" t="str">
        <x:v>Doğrulanmadı</x:v>
      </x:c>
      <x:c r="N12" s="18" t="str">
        <x:v>Yorumlarda temizlik, sessizlik, dükkânlar ve donanım övülüyor.</x:v>
      </x:c>
    </x:row>
    <x:row r="13" ht="105" customHeight="1">
      <x:c r="A13" s="18" t="str">
        <x:v>Booking</x:v>
      </x:c>
      <x:c r="B13" s="18" t="str">
        <x:v>Résidence ROZ 2</x:v>
      </x:c>
      <x:c r="C13" s="19" t="n">
        <x:v>38047</x:v>
      </x:c>
      <x:c r="D13" s="19" t="n">
        <x:v>7567</x:v>
      </x:c>
      <x:c r="E13" s="19" t="n">
        <x:f>IF(C13="","",IF(A13="Airbnb",C13,IF(D13="","",C13+D13)))</x:f>
        <x:v>45614</x:v>
      </x:c>
      <x:c r="F13" s="18" t="str">
        <x:v>1 oda, 2 yatak</x:v>
      </x:c>
      <x:c r="G13" s="18" t="str">
        <x:v>7,9 / 19</x:v>
      </x:c>
      <x:c r="H13" s="18" t="str">
        <x:v>İki yatak aynı odada; 2 yatak odası yok.</x:v>
      </x:c>
      <x:c r="I13" s="18" t="str">
        <x:v>https://www.booking.com/hotel/fr/residence-roz-2.tr.html</x:v>
      </x:c>
      <x:c r="J13" s="18" t="str">
        <x:v>Konum ve rota doğrulanamadı</x:v>
      </x:c>
      <x:c r="K13" s="18" t="str">
        <x:v>Bilinmiyor</x:v>
      </x:c>
      <x:c r="L13" s="18" t="str">
        <x:v>Bilinmiyor</x:v>
      </x:c>
      <x:c r="M13" s="18" t="str">
        <x:v>Bilinmiyor</x:v>
      </x:c>
      <x:c r="N13" s="18" t="str">
        <x:v>Misafirler temiz ve sessiz olduğunu, dükkânlara yakınlığını belirtmiş.</x:v>
      </x:c>
    </x:row>
    <x:row r="14" ht="105" customHeight="1">
      <x:c r="A14" s="18" t="str">
        <x:v>Booking</x:v>
      </x:c>
      <x:c r="B14" s="18" t="str">
        <x:v>Séjours &amp; Affaires Massy Atlantis</x:v>
      </x:c>
      <x:c r="C14" s="19" t="n">
        <x:v>54178</x:v>
      </x:c>
      <x:c r="D14" s="19" t="n">
        <x:v>3424</x:v>
      </x:c>
      <x:c r="E14" s="19" t="n">
        <x:f>IF(C14="","",IF(A14="Airbnb",C14,IF(D14="","",C14+D14)))</x:f>
        <x:v>57602</x:v>
      </x:c>
      <x:c r="F14" s="18" t="str">
        <x:v>1 yatak odası + salon</x:v>
      </x:c>
      <x:c r="G14" s="18" t="str">
        <x:v>7,4 / 1472</x:v>
      </x:c>
      <x:c r="H14" s="18" t="str">
        <x:v>150 € kart depozitosu; 18 yaş. Önerilen birim tek yatak odalı daire.</x:v>
      </x:c>
      <x:c r="I14" s="18" t="str">
        <x:v>https://www.booking.com/hotel/fr/sejours-amp-affaires-massy-atlantis.tr.html</x:v>
      </x:c>
      <x:c r="J14" s="18" t="str">
        <x:v>Massy; istasyon ve rota doğrulanamadı</x:v>
      </x:c>
      <x:c r="K14" s="18" t="str">
        <x:v>Bilinmiyor</x:v>
      </x:c>
      <x:c r="L14" s="18" t="str">
        <x:v>Bilinmiyor</x:v>
      </x:c>
      <x:c r="M14" s="18" t="str">
        <x:v>Bilinmiyor</x:v>
      </x:c>
      <x:c r="N14" s="18" t="str">
        <x:v>1.472 değerlendirme; konum 8,6, temizlik 7,9. Önerilen seçenek tek yatak odalı daire.</x:v>
      </x:c>
    </x:row>
    <x:row r="15" ht="105" customHeight="1">
      <x:c r="A15" s="18" t="str">
        <x:v>Booking</x:v>
      </x:c>
      <x:c r="B15" s="18" t="str">
        <x:v>Superbe Appart 2P Massy</x:v>
      </x:c>
      <x:c r="C15" s="19" t="n">
        <x:v>62077</x:v>
      </x:c>
      <x:c r="D15" s="19" t="n">
        <x:v>13787</x:v>
      </x:c>
      <x:c r="E15" s="19" t="n">
        <x:f>IF(C15="","",IF(A15="Airbnb",C15,IF(D15="","",C15+D15)))</x:f>
        <x:v>75864</x:v>
      </x:c>
      <x:c r="F15" s="18" t="str">
        <x:v>1 oda + salon</x:v>
      </x:c>
      <x:c r="G15" s="18" t="str">
        <x:v>8,7 / 20</x:v>
      </x:c>
      <x:c r="H15" s="18" t="str">
        <x:v>500 € kart depozitosu; fiyat seçeneği 3 kişi için teyit edilmeli; 2 yatak odası yok.</x:v>
      </x:c>
      <x:c r="I15" s="18" t="str">
        <x:v>https://www.booking.com/hotel/fr/superbe-appart-2p-pour-4-pers-a-5-min-tgv-rer-orly.tr.html</x:v>
      </x:c>
      <x:c r="J15" s="18" t="str">
        <x:v>Massy; ilanda istasyon yaklaşık 10 dk</x:v>
      </x:c>
      <x:c r="K15" s="18" t="str">
        <x:v>Bilinmiyor</x:v>
      </x:c>
      <x:c r="L15" s="18" t="str">
        <x:v>Bilinmiyor</x:v>
      </x:c>
      <x:c r="M15" s="18" t="str">
        <x:v>Bilinmiyor</x:v>
      </x:c>
      <x:c r="N15" s="18" t="str">
        <x:v>Konuklar temizlik ve ev sahibini övüyor. 3 kişilik teklif vergiyle 75.864 TL.</x:v>
      </x:c>
    </x:row>
    <x:row r="16" ht="105" customHeight="1">
      <x:c r="A16" s="18" t="str">
        <x:v>Booking</x:v>
      </x:c>
      <x:c r="B16" s="18" t="str">
        <x:v>Cozy studio near RER B</x:v>
      </x:c>
      <x:c r="C16" s="19" t="n">
        <x:v>33096</x:v>
      </x:c>
      <x:c r="D16" s="19" t="n">
        <x:v>8077</x:v>
      </x:c>
      <x:c r="E16" s="19" t="n">
        <x:f>IF(C16="","",IF(A16="Airbnb",C16,IF(D16="","",C16+D16)))</x:f>
        <x:v>41173</x:v>
      </x:c>
      <x:c r="F16" s="18" t="str">
        <x:v>1 oda + salon</x:v>
      </x:c>
      <x:c r="G16" s="18" t="str">
        <x:v>8,2 / 23</x:v>
      </x:c>
      <x:c r="H16" s="18" t="str">
        <x:v>2 yatak odası yok; daha ucuz başka seçenek var, kişi kapasitesi doğrulanmalı.</x:v>
      </x:c>
      <x:c r="I16" s="18" t="str">
        <x:v>https://www.booking.com/hotel/fr/cozy-studio-near-rer-b.tr.html</x:v>
      </x:c>
      <x:c r="J16" s="18" t="str">
        <x:v>RER B yakınlığı; tam rota doğrulanamadı</x:v>
      </x:c>
      <x:c r="K16" s="18" t="str">
        <x:v>Bilinmiyor</x:v>
      </x:c>
      <x:c r="L16" s="18" t="str">
        <x:v>Bilinmiyor</x:v>
      </x:c>
      <x:c r="M16" s="18" t="str">
        <x:v>Bilinmiyor</x:v>
      </x:c>
      <x:c r="N16" s="18" t="str">
        <x:v>Temiz, küçük ama donanımlı; erişimin kolay olduğu belirtiliyor.</x:v>
      </x:c>
    </x:row>
    <x:row r="17" ht="105" customHeight="1">
      <x:c r="A17" s="18" t="str">
        <x:v>Booking</x:v>
      </x:c>
      <x:c r="B17" s="18" t="str">
        <x:v>Adagio Access Palaiseau</x:v>
      </x:c>
      <x:c r="C17" s="19" t="n">
        <x:v>44102</x:v>
      </x:c>
      <x:c r="D17" s="19" t="n">
        <x:v>2448</x:v>
      </x:c>
      <x:c r="E17" s="19" t="n">
        <x:f>IF(C17="","",IF(A17="Airbnb",C17,IF(D17="","",C17+D17)))</x:f>
        <x:v>46550</x:v>
      </x:c>
      <x:c r="F17" s="18" t="str">
        <x:v>1 yatak odası + salon</x:v>
      </x:c>
      <x:c r="G17" s="18" t="str">
        <x:v>7,2 / 241</x:v>
      </x:c>
      <x:c r="H17" s="18" t="str">
        <x:v>150 € depozito; 18 yaş. Önerilen birim tek yatak odalı daire.</x:v>
      </x:c>
      <x:c r="I17" s="18" t="str">
        <x:v>https://www.booking.com/hotel/fr/tulip-inn-massy-palaiseau-residence.tr.html</x:v>
      </x:c>
      <x:c r="J17" s="18" t="str">
        <x:v>Palaiseau RER B yaklaşık 400 m</x:v>
      </x:c>
      <x:c r="K17" s="18" t="str">
        <x:v>Doğrulanmadı</x:v>
      </x:c>
      <x:c r="L17" s="18" t="str">
        <x:v>0</x:v>
      </x:c>
      <x:c r="M17" s="18" t="str">
        <x:v>Doğrulanmadı</x:v>
      </x:c>
      <x:c r="N17" s="18" t="str">
        <x:v>241 değerlendirme; temizlik 7,8, konum 7,7. Önerilen seçenek tek yatak odalı daire.</x:v>
      </x:c>
    </x:row>
    <x:row r="18" ht="105" customHeight="1">
      <x:c r="A18" s="18" t="str">
        <x:v>Airbnb</x:v>
      </x:c>
      <x:c r="B18" s="18" t="str">
        <x:v>Paris + Orly otopark</x:v>
      </x:c>
      <x:c r="C18" s="19" t="n">
        <x:v>58136</x:v>
      </x:c>
      <x:c r="D18" s="19"/>
      <x:c r="E18" s="19" t="n">
        <x:f>IF(C18="","",IF(A18="Airbnb",C18,IF(D18="","",C18+D18)))</x:f>
        <x:v>58136</x:v>
      </x:c>
      <x:c r="F18" s="18" t="str">
        <x:v>2 ayrı oda</x:v>
      </x:c>
      <x:c r="G18" s="18" t="str">
        <x:v>4,9 / 129</x:v>
      </x:c>
      <x:c r="H18" s="18" t="str">
        <x:v>Arama fiyatı 9 gece için tüm ücretler dâhil gösteriliyor; oda ve koşullar incelenmeli.</x:v>
      </x:c>
      <x:c r="I18" s="18" t="str">
        <x:v>https://www.airbnb.com.tr/rooms/912125809575987889</x:v>
      </x:c>
      <x:c r="J18" s="18" t="str">
        <x:v>La Croix de Berny RER B, yaklaşık 400 m/5 dk yürüyüş → Luxembourg</x:v>
      </x:c>
      <x:c r="K18" s="18" t="str">
        <x:v>10</x:v>
      </x:c>
      <x:c r="L18" s="18" t="str">
        <x:v>0</x:v>
      </x:c>
      <x:c r="M18" s="18" t="str">
        <x:v>29–40 dk tahmini</x:v>
      </x:c>
      <x:c r="N18" s="18" t="str">
        <x:v>4,9/129: temiz, sessiz, ev sahibi ilgili; RER ve dükkânlara yakın.</x:v>
      </x:c>
    </x:row>
    <x:row r="19" ht="105" customHeight="1">
      <x:c r="A19" s="18" t="str">
        <x:v>Airbnb</x:v>
      </x:c>
      <x:c r="B19" s="18" t="str">
        <x:v>Antony/Orly T3</x:v>
      </x:c>
      <x:c r="C19" s="19" t="n">
        <x:v>54348</x:v>
      </x:c>
      <x:c r="D19" s="19"/>
      <x:c r="E19" s="19" t="n">
        <x:f>IF(C19="","",IF(A19="Airbnb",C19,IF(D19="","",C19+D19)))</x:f>
        <x:v>54348</x:v>
      </x:c>
      <x:c r="F19" s="18" t="str">
        <x:v>2 oda</x:v>
      </x:c>
      <x:c r="G19" s="18" t="str">
        <x:v>4,57 / 5</x:v>
      </x:c>
      <x:c r="H19" s="18" t="str">
        <x:v>RER B Parc de Sceaux: ilanda 5 dakika deniyor, yürüyüş olup olmadığı teyit edilmeli.</x:v>
      </x:c>
      <x:c r="I19" s="18" t="str">
        <x:v>https://www.airbnb.com.tr/rooms/1240655557208034505</x:v>
      </x:c>
      <x:c r="J19" s="18" t="str">
        <x:v>Parc de Sceaux RER B: ilanda 5 dk, ulaşım biçimi belirsiz</x:v>
      </x:c>
      <x:c r="K19" s="18" t="str">
        <x:v>Doğrulanmadı</x:v>
      </x:c>
      <x:c r="L19" s="18" t="str">
        <x:v>0</x:v>
      </x:c>
      <x:c r="M19" s="18" t="str">
        <x:v>Doğrulanmadı</x:v>
      </x:c>
      <x:c r="N19" s="18" t="str">
        <x:v>4,57/5; yorum ayrıntıları doğrulanamadı.</x:v>
      </x:c>
    </x:row>
    <x:row r="20" ht="105" customHeight="1">
      <x:c r="A20" s="18" t="str">
        <x:v>Airbnb</x:v>
      </x:c>
      <x:c r="B20" s="18" t="str">
        <x:v>Cachan Jeanne-Danielle</x:v>
      </x:c>
      <x:c r="C20" s="19" t="n">
        <x:v>62914</x:v>
      </x:c>
      <x:c r="D20" s="19"/>
      <x:c r="E20" s="19" t="n">
        <x:f>IF(C20="","",IF(A20="Airbnb",C20,IF(D20="","",C20+D20)))</x:f>
        <x:v>62914</x:v>
      </x:c>
      <x:c r="F20" s="18" t="str">
        <x:v>2 kapılı oda</x:v>
      </x:c>
      <x:c r="G20" s="18" t="str">
        <x:v>4,79 / 19</x:v>
      </x:c>
      <x:c r="H20" s="18" t="str">
        <x:v>Önceki tabloda A06; RER B 5 dk yürüme; giriş en erken 20.00.</x:v>
      </x:c>
      <x:c r="I20" s="18" t="str">
        <x:v>https://www.airbnb.com.tr/rooms/1597803666494694176</x:v>
      </x:c>
      <x:c r="J20" s="18" t="str">
        <x:v>Arcueil-Cachan RER B yaklaşık 5 dk yürüyüş → Luxembourg</x:v>
      </x:c>
      <x:c r="K20" s="18" t="str">
        <x:v>6</x:v>
      </x:c>
      <x:c r="L20" s="18" t="str">
        <x:v>0</x:v>
      </x:c>
      <x:c r="M20" s="18" t="str">
        <x:v>21–31 dk tahmini</x:v>
      </x:c>
      <x:c r="N20" s="18" t="str">
        <x:v>Genişlik ve ev sahibi övülüyor; bir yorumda ocak ve tuvalet gideri sorunu bildirilmiş.</x:v>
      </x:c>
    </x:row>
    <x:row r="21" ht="105" customHeight="1">
      <x:c r="A21" s="18" t="str">
        <x:v>Airbnb</x:v>
      </x:c>
      <x:c r="B21" s="18" t="str">
        <x:v>F3 Arcueil</x:v>
      </x:c>
      <x:c r="C21" s="19" t="n">
        <x:v>54442</x:v>
      </x:c>
      <x:c r="D21" s="19"/>
      <x:c r="E21" s="19" t="n">
        <x:f>IF(C21="","",IF(A21="Airbnb",C21,IF(D21="","",C21+D21)))</x:f>
        <x:v>54442</x:v>
      </x:c>
      <x:c r="F21" s="18" t="str">
        <x:v>2 oda</x:v>
      </x:c>
      <x:c r="G21" s="18" t="str">
        <x:v>4,44 / 5</x:v>
      </x:c>
      <x:c r="H21" s="18" t="str">
        <x:v>İki ayrı oda; yorumlarda gece izinsiz giriş veya giriş denemesi iddiaları var; koşulları ve istasyonu teyit et.</x:v>
      </x:c>
      <x:c r="I21" s="18" t="str">
        <x:v>https://www.airbnb.com.tr/rooms/1015341138481073900</x:v>
      </x:c>
      <x:c r="J21" s="18" t="str">
        <x:v>Laplace veya Arcueil-Cachan RER B; istasyon kesinliği teyit edilmeli</x:v>
      </x:c>
      <x:c r="K21" s="18" t="str">
        <x:v>Bilinmiyor</x:v>
      </x:c>
      <x:c r="L21" s="18" t="str">
        <x:v>0 olası</x:v>
      </x:c>
      <x:c r="M21" s="18" t="str">
        <x:v>Doğrulanmadı</x:v>
      </x:c>
      <x:c r="N21" s="18" t="str">
        <x:v>İki yorumda izinsiz giriş veya giriş denemesi iddiası var; birinde gece gürültüsü ve karınca da anlatılıyor. İddialar bağımsız doğrulanmadı.</x:v>
      </x:c>
    </x:row>
    <x:row r="22" ht="105" customHeight="1">
      <x:c r="A22" s="18" t="str">
        <x:v>Airbnb</x:v>
      </x:c>
      <x:c r="B22" s="18" t="str">
        <x:v>Montmartre dairesi</x:v>
      </x:c>
      <x:c r="C22" s="19" t="n">
        <x:v>57852</x:v>
      </x:c>
      <x:c r="D22" s="19"/>
      <x:c r="E22" s="19" t="n">
        <x:f>IF(C22="","",IF(A22="Airbnb",C22,IF(D22="","",C22+D22)))</x:f>
        <x:v>57852</x:v>
      </x:c>
      <x:c r="F22" s="18" t="str">
        <x:v>2 ayrı oda</x:v>
      </x:c>
      <x:c r="G22" s="18" t="str">
        <x:v>4,44 / 9</x:v>
      </x:c>
      <x:c r="H22" s="18" t="str">
        <x:v>Oda düzeni, yorumlar ve ulaşım doğrulanmalı.</x:v>
      </x:c>
      <x:c r="I22" s="18" t="str">
        <x:v>https://www.airbnb.com.tr/rooms/21548407</x:v>
      </x:c>
      <x:c r="J22" s="18" t="str">
        <x:v>Abbesses/Pigalle M12; Luxembourg için bağlantı gerekli</x:v>
      </x:c>
      <x:c r="K22" s="18" t="str">
        <x:v>Doğrulanmadı</x:v>
      </x:c>
      <x:c r="L22" s="18" t="str">
        <x:v>En az 1</x:v>
      </x:c>
      <x:c r="M22" s="18" t="str">
        <x:v>Doğrulanmadı</x:v>
      </x:c>
      <x:c r="N22" s="18" t="str">
        <x:v>Konum övülüyor; eski yorumlarda temizlik, yatak ve eski eşya şikâyeti var.</x:v>
      </x:c>
    </x:row>
    <x:row r="23" ht="105" customHeight="1">
      <x:c r="A23" s="18" t="str">
        <x:v>Airbnb</x:v>
      </x:c>
      <x:c r="B23" s="18" t="str">
        <x:v>Arcueil bahçeli ev</x:v>
      </x:c>
      <x:c r="C23" s="19" t="n">
        <x:v>61880</x:v>
      </x:c>
      <x:c r="D23" s="19"/>
      <x:c r="E23" s="19" t="n">
        <x:f>IF(C23="","",IF(A23="Airbnb",C23,IF(D23="","",C23+D23)))</x:f>
        <x:v>61880</x:v>
      </x:c>
      <x:c r="F23" s="18" t="str">
        <x:v>2 oda</x:v>
      </x:c>
      <x:c r="G23" s="18" t="str">
        <x:v>4,63 / 115</x:v>
      </x:c>
      <x:c r="H23" s="18" t="str">
        <x:v>Önceki tabloda A07; Laplace RER 2–3 dk; Ağustos 2026’da evin durumu hakkında olumsuz değerlendirme var.</x:v>
      </x:c>
      <x:c r="I23" s="18" t="str">
        <x:v>https://www.airbnb.com.tr/rooms/1061024052582307771</x:v>
      </x:c>
      <x:c r="J23" s="18" t="str">
        <x:v>Laplace RER B 2–3 dk yürüyüş → Luxembourg</x:v>
      </x:c>
      <x:c r="K23" s="18" t="str">
        <x:v>5</x:v>
      </x:c>
      <x:c r="L23" s="18" t="str">
        <x:v>0</x:v>
      </x:c>
      <x:c r="M23" s="18" t="str">
        <x:v>16–27 dk tahmini</x:v>
      </x:c>
      <x:c r="N23" s="18" t="str">
        <x:v>4,63/115: bir konuk evin durumundan memnun kalmayıp ayrıldığını yazmış.</x:v>
      </x:c>
    </x:row>
    <x:row r="24" ht="105" customHeight="1">
      <x:c r="A24" s="18" t="str">
        <x:v>Airbnb</x:v>
      </x:c>
      <x:c r="B24" s="18" t="str">
        <x:v>Le Bourget Gurpreet</x:v>
      </x:c>
      <x:c r="C24" s="19" t="n">
        <x:v>60723</x:v>
      </x:c>
      <x:c r="D24" s="19"/>
      <x:c r="E24" s="19" t="n">
        <x:f>IF(C24="","",IF(A24="Airbnb",C24,IF(D24="","",C24+D24)))</x:f>
        <x:v>60723</x:v>
      </x:c>
      <x:c r="F24" s="18" t="str">
        <x:v>2 oda</x:v>
      </x:c>
      <x:c r="G24" s="18" t="str">
        <x:v>4,88 / 90</x:v>
      </x:c>
      <x:c r="H24" s="18" t="str">
        <x:v>Önceki tabloda A02; misafir yorumuna göre RER 3 dk; 12 Kasım ücretsiz iptal.</x:v>
      </x:c>
      <x:c r="I24" s="18" t="str">
        <x:v>https://www.airbnb.com.tr/rooms/1104536727716347677</x:v>
      </x:c>
      <x:c r="J24" s="18" t="str">
        <x:v>Le Bourget RER B yaklaşık 3 dk yürüyüş → Luxembourg</x:v>
      </x:c>
      <x:c r="K24" s="18" t="str">
        <x:v>6</x:v>
      </x:c>
      <x:c r="L24" s="18" t="str">
        <x:v>0</x:v>
      </x:c>
      <x:c r="M24" s="18" t="str">
        <x:v>27–39 dk tahmini</x:v>
      </x:c>
      <x:c r="N24" s="18" t="str">
        <x:v>Temizlik, ulaşım yakınlığı ve iletişim övülüyor.</x:v>
      </x:c>
    </x:row>
    <x:row r="25" ht="105" customHeight="1">
      <x:c r="A25" s="18" t="str">
        <x:v>Airbnb</x:v>
      </x:c>
      <x:c r="B25" s="18" t="str">
        <x:v>3 odalı ayrıcalıklı konum</x:v>
      </x:c>
      <x:c r="C25" s="19"/>
      <x:c r="D25" s="19"/>
      <x:c r="E25" s="19" t="str">
        <x:f>IF(C25="","",IF(A25="Airbnb",C25,IF(D25="","",C25+D25)))</x:f>
      </x:c>
      <x:c r="F25" s="18" t="str">
        <x:v>Doğrulanmalı</x:v>
      </x:c>
      <x:c r="G25" s="18" t="str"/>
      <x:c r="H25" s="18" t="str">
        <x:v>Fiyat ve tarihli müsaitlik doğrulanamadı.</x:v>
      </x:c>
      <x:c r="I25" s="18" t="str">
        <x:v>https://www.airbnb.com.tr/rooms/1192109341409790246</x:v>
      </x:c>
      <x:c r="J25" s="18" t="str">
        <x:v>Paris; rota ve fiyat doğrulanamadı</x:v>
      </x:c>
      <x:c r="K25" s="18" t="str">
        <x:v>Bilinmiyor</x:v>
      </x:c>
      <x:c r="L25" s="18" t="str">
        <x:v>Bilinmiyor</x:v>
      </x:c>
      <x:c r="M25" s="18" t="str">
        <x:v>Bilinmiyor</x:v>
      </x:c>
      <x:c r="N25" s="18" t="str">
        <x:v>İlan sayfası eksik yüklendi; yorum, fiyat ve tarihler teyit edilmeli.</x:v>
      </x:c>
    </x:row>
    <x:row r="26" ht="105" customHeight="1">
      <x:c r="A26" s="18" t="str">
        <x:v>Airbnb</x:v>
      </x:c>
      <x:c r="B26" s="18" t="str">
        <x:v>Parc de Sceaux Van Hien</x:v>
      </x:c>
      <x:c r="C26" s="19" t="n">
        <x:v>56381</x:v>
      </x:c>
      <x:c r="D26" s="19"/>
      <x:c r="E26" s="19" t="n">
        <x:f>IF(C26="","",IF(A26="Airbnb",C26,IF(D26="","",C26+D26)))</x:f>
        <x:v>56381</x:v>
      </x:c>
      <x:c r="F26" s="18" t="str">
        <x:v>2 oda</x:v>
      </x:c>
      <x:c r="G26" s="18" t="str">
        <x:v>4,92 / 79</x:v>
      </x:c>
      <x:c r="H26" s="18" t="str">
        <x:v>Önceki tabloda A04; T10 + RER B ile 1 aktarma.</x:v>
      </x:c>
      <x:c r="I26" s="18" t="str">
        <x:v>https://www.airbnb.com.tr/rooms/1410834603563517631</x:v>
      </x:c>
      <x:c r="J26" s="18" t="str">
        <x:v>La Vallée T10 → La Croix de Berny → RER B Luxembourg</x:v>
      </x:c>
      <x:c r="K26" s="18" t="str">
        <x:v>T10 1 + RER 10</x:v>
      </x:c>
      <x:c r="L26" s="18" t="str">
        <x:v>1</x:v>
      </x:c>
      <x:c r="M26" s="18" t="str">
        <x:v>35–54 dk tahmini</x:v>
      </x:c>
      <x:c r="N26" s="18" t="str">
        <x:v>Modern ve temiz; market yakınlığı övülüyor. Bir konuk ilk girişte erişim sorunu bildirmiş.</x:v>
      </x:c>
    </x:row>
    <x:row r="27" ht="105" customHeight="1">
      <x:c r="A27" s="18" t="str">
        <x:v>Airbnb</x:v>
      </x:c>
      <x:c r="B27" s="18" t="str">
        <x:v>Fontenay-aux-Roses Soumia</x:v>
      </x:c>
      <x:c r="C27" s="19" t="n">
        <x:v>54834</x:v>
      </x:c>
      <x:c r="D27" s="19"/>
      <x:c r="E27" s="19" t="n">
        <x:f>IF(C27="","",IF(A27="Airbnb",C27,IF(D27="","",C27+D27)))</x:f>
        <x:v>54834</x:v>
      </x:c>
      <x:c r="F27" s="18" t="str">
        <x:v>2 oda</x:v>
      </x:c>
      <x:c r="G27" s="18" t="str">
        <x:v>4,91 / 80</x:v>
      </x:c>
      <x:c r="H27" s="18" t="str">
        <x:v>Önceki tabloda A01; RER B 5 dk; ilk 24 saatten sonra iadesiz.</x:v>
      </x:c>
      <x:c r="I27" s="18" t="str">
        <x:v>https://www.airbnb.com.tr/rooms/1228884752791241076</x:v>
      </x:c>
      <x:c r="J27" s="18" t="str">
        <x:v>Fontenay-aux-Roses RER B yaklaşık 5 dk yürüyüş → Luxembourg</x:v>
      </x:c>
      <x:c r="K27" s="18" t="str">
        <x:v>10</x:v>
      </x:c>
      <x:c r="L27" s="18" t="str">
        <x:v>0</x:v>
      </x:c>
      <x:c r="M27" s="18" t="str">
        <x:v>29–40 dk tahmini</x:v>
      </x:c>
      <x:c r="N27" s="18" t="str">
        <x:v>4,91/80. Üçüncü kat; ilk 24 saatten sonra iade koşulu kontrol edilmeli.</x:v>
      </x:c>
    </x:row>
    <x:row r="28" ht="105" customHeight="1">
      <x:c r="A28" s="18" t="str">
        <x:v>Airbnb</x:v>
      </x:c>
      <x:c r="B28" s="18" t="str">
        <x:v>Nogent-sur-Marne</x:v>
      </x:c>
      <x:c r="C28" s="19" t="n">
        <x:v>59755</x:v>
      </x:c>
      <x:c r="D28" s="19"/>
      <x:c r="E28" s="19" t="n">
        <x:f>IF(C28="","",IF(A28="Airbnb",C28,IF(D28="","",C28+D28)))</x:f>
        <x:v>59755</x:v>
      </x:c>
      <x:c r="F28" s="18" t="str">
        <x:v>2 oda; asma kat mahremiyeti teyit</x:v>
      </x:c>
      <x:c r="G28" s="18" t="str">
        <x:v>5,0 / 21</x:v>
      </x:c>
      <x:c r="H28" s="18" t="str">
        <x:v>Odalardan biri asma katta görünüyor; kapalı oda olup olmadığı teyit edilmeli.</x:v>
      </x:c>
      <x:c r="I28" s="18" t="str">
        <x:v>https://www.airbnb.com.tr/rooms/1670947872499138173</x:v>
      </x:c>
      <x:c r="J28" s="18" t="str">
        <x:v>Nogent-sur-Marne; istasyon ve rota doğrulanamadı</x:v>
      </x:c>
      <x:c r="K28" s="18" t="str">
        <x:v>Bilinmiyor</x:v>
      </x:c>
      <x:c r="L28" s="18" t="str">
        <x:v>Bilinmiyor</x:v>
      </x:c>
      <x:c r="M28" s="18" t="str">
        <x:v>Bilinmiyor</x:v>
      </x:c>
      <x:c r="N28" s="18" t="str">
        <x:v>5/21; temiz ve merkeze/dükkânlara yakın. Asma katın kapalı yatak odası olup olmadığı teyit edilmeli.</x:v>
      </x:c>
    </x:row>
    <x:row r="29" ht="105" customHeight="1">
      <x:c r="A29" s="18" t="str">
        <x:v>Airbnb</x:v>
      </x:c>
      <x:c r="B29" s="18" t="str">
        <x:v>Saint-Cloud Val d'Or</x:v>
      </x:c>
      <x:c r="C29" s="19" t="n">
        <x:v>48685</x:v>
      </x:c>
      <x:c r="D29" s="19"/>
      <x:c r="E29" s="19" t="n">
        <x:f>IF(C29="","",IF(A29="Airbnb",C29,IF(D29="","",C29+D29)))</x:f>
        <x:v>48685</x:v>
      </x:c>
      <x:c r="F29" s="18" t="str">
        <x:v>1 oda</x:v>
      </x:c>
      <x:c r="G29" s="18" t="str">
        <x:v>4,91 / 86</x:v>
      </x:c>
      <x:c r="H29" s="18" t="str">
        <x:v>1 yatak odası; 2 ayrı oda koşulunu sağlamıyor.</x:v>
      </x:c>
      <x:c r="I29" s="18" t="str">
        <x:v>https://www.airbnb.com.tr/rooms/789302865571147059</x:v>
      </x:c>
      <x:c r="J29" s="18" t="str">
        <x:v>Saint-Cloud; Val d’Or tren L yakını; rota doğrulanmadı</x:v>
      </x:c>
      <x:c r="K29" s="18" t="str">
        <x:v>Bilinmiyor</x:v>
      </x:c>
      <x:c r="L29" s="18" t="str">
        <x:v>Bilinmiyor</x:v>
      </x:c>
      <x:c r="M29" s="18" t="str">
        <x:v>Bilinmiyor</x:v>
      </x:c>
      <x:c r="N29" s="18" t="str">
        <x:v>4,91/86; sessiz, temiz ve marketlere yakın. Tek yatak odası var.</x:v>
      </x:c>
    </x:row>
    <x:row r="30" ht="105" customHeight="1">
      <x:c r="A30" s="18" t="str">
        <x:v>Airbnb</x:v>
      </x:c>
      <x:c r="B30" s="18" t="str">
        <x:v>Le Kremlin-Bicêtre</x:v>
      </x:c>
      <x:c r="C30" s="19" t="n">
        <x:v>64861</x:v>
      </x:c>
      <x:c r="D30" s="19"/>
      <x:c r="E30" s="19" t="n">
        <x:f>IF(C30="","",IF(A30="Airbnb",C30,IF(D30="","",C30+D30)))</x:f>
        <x:v>64861</x:v>
      </x:c>
      <x:c r="F30" s="18" t="str">
        <x:v>3 oda</x:v>
      </x:c>
      <x:c r="G30" s="18" t="str">
        <x:v>4,7 / 5</x:v>
      </x:c>
      <x:c r="H30" s="18" t="str">
        <x:v>Bütçeye çok yakın; ödeme aşamasında toplamı teyit et.</x:v>
      </x:c>
      <x:c r="I30" s="18" t="str">
        <x:v>https://www.airbnb.com.tr/rooms/804454378659557391</x:v>
      </x:c>
      <x:c r="J30" s="18" t="str">
        <x:v>Le Kremlin-Bicêtre; rota doğrulanamadı</x:v>
      </x:c>
      <x:c r="K30" s="18" t="str">
        <x:v>Bilinmiyor</x:v>
      </x:c>
      <x:c r="L30" s="18" t="str">
        <x:v>Bilinmiyor</x:v>
      </x:c>
      <x:c r="M30" s="18" t="str">
        <x:v>Bilinmiyor</x:v>
      </x:c>
      <x:c r="N30" s="18" t="str">
        <x:v>4,7/5; ayrıntılı yorumlar ve güzergâh teyit edilmeli.</x:v>
      </x:c>
    </x:row>
    <x:row r="31" ht="105" customHeight="1">
      <x:c r="A31" s="18" t="str">
        <x:v>Airbnb</x:v>
      </x:c>
      <x:c r="B31" s="18" t="str">
        <x:v>Argenteuil balkonlu</x:v>
      </x:c>
      <x:c r="C31" s="19" t="n">
        <x:v>42853</x:v>
      </x:c>
      <x:c r="D31" s="19"/>
      <x:c r="E31" s="19" t="n">
        <x:f>IF(C31="","",IF(A31="Airbnb",C31,IF(D31="","",C31+D31)))</x:f>
        <x:v>42853</x:v>
      </x:c>
      <x:c r="F31" s="18" t="str">
        <x:v>2 oda</x:v>
      </x:c>
      <x:c r="G31" s="18" t="str">
        <x:v>4,95 / 39</x:v>
      </x:c>
      <x:c r="H31" s="18" t="str">
        <x:v>Ulaşım ve durak bilgisi teyit edilmeli.</x:v>
      </x:c>
      <x:c r="I31" s="18" t="str">
        <x:v>https://www.airbnb.com.tr/rooms/1400000070296142652</x:v>
      </x:c>
      <x:c r="J31" s="18" t="str">
        <x:v>Argenteuil otobüs → tren J Saint-Lazare; devamı doğrulanmadı</x:v>
      </x:c>
      <x:c r="K31" s="18" t="str">
        <x:v>Bilinmiyor</x:v>
      </x:c>
      <x:c r="L31" s="18" t="str">
        <x:v>En az 1</x:v>
      </x:c>
      <x:c r="M31" s="18" t="str">
        <x:v>Doğrulanmadı</x:v>
      </x:c>
      <x:c r="N31" s="18" t="str">
        <x:v>4,95/39; temizlik ve ev sahibi övülüyor. Merkezden daha uzak.</x:v>
      </x:c>
    </x:row>
    <x:row r="32" ht="105" customHeight="1">
      <x:c r="A32" s="18" t="str">
        <x:v>Airbnb</x:v>
      </x:c>
      <x:c r="B32" s="18" t="str">
        <x:v>Appartement neuf</x:v>
      </x:c>
      <x:c r="C32" s="19" t="n">
        <x:v>50298</x:v>
      </x:c>
      <x:c r="D32" s="19"/>
      <x:c r="E32" s="19" t="n">
        <x:f>IF(C32="","",IF(A32="Airbnb",C32,IF(D32="","",C32+D32)))</x:f>
        <x:v>50298</x:v>
      </x:c>
      <x:c r="F32" s="18" t="str">
        <x:v>2 oda</x:v>
      </x:c>
      <x:c r="G32" s="18" t="str">
        <x:v>4,8 / 5</x:v>
      </x:c>
      <x:c r="H32" s="18" t="str">
        <x:v>Oda, konum ve koşullar doğrulanmalı.</x:v>
      </x:c>
      <x:c r="I32" s="18" t="str">
        <x:v>https://www.airbnb.com.tr/rooms/983245317095951888</x:v>
      </x:c>
      <x:c r="J32" s="18" t="str">
        <x:v>Alfortville; rota doğrulanamadı</x:v>
      </x:c>
      <x:c r="K32" s="18" t="str">
        <x:v>Bilinmiyor</x:v>
      </x:c>
      <x:c r="L32" s="18" t="str">
        <x:v>Bilinmiyor</x:v>
      </x:c>
      <x:c r="M32" s="18" t="str">
        <x:v>Bilinmiyor</x:v>
      </x:c>
      <x:c r="N32" s="18" t="str">
        <x:v>4,8/5; yorum ve ulaşım ayrıntıları doğrulanamadı.</x:v>
      </x:c>
    </x:row>
    <x:row r="33" ht="105" customHeight="1">
      <x:c r="A33" s="18" t="str">
        <x:v>Airbnb</x:v>
      </x:c>
      <x:c r="B33" s="18" t="str">
        <x:v>Teraslı iki yatak odası</x:v>
      </x:c>
      <x:c r="C33" s="19" t="n">
        <x:v>48436</x:v>
      </x:c>
      <x:c r="D33" s="19"/>
      <x:c r="E33" s="19" t="n">
        <x:f>IF(C33="","",IF(A33="Airbnb",C33,IF(D33="","",C33+D33)))</x:f>
        <x:v>48436</x:v>
      </x:c>
      <x:c r="F33" s="18" t="str">
        <x:v>2 oda</x:v>
      </x:c>
      <x:c r="G33" s="18" t="str">
        <x:v>4,53 / 15</x:v>
      </x:c>
      <x:c r="H33" s="18" t="str">
        <x:v>30 m²; her odada çift kişilik yatak. Bir yorumda gece izinsiz giriş iddiası var; ücretsiz iptal ilk 24 saatle sınırlı.</x:v>
      </x:c>
      <x:c r="I33" s="18" t="str">
        <x:v>https://www.airbnb.com.tr/rooms/1617390993473237515</x:v>
      </x:c>
      <x:c r="J33" s="18" t="str">
        <x:v>Aubervilliers M12; ilanda 2–5 dk; Luxembourg için bağlantı gerekli</x:v>
      </x:c>
      <x:c r="K33" s="18" t="str">
        <x:v>Doğrulanmadı</x:v>
      </x:c>
      <x:c r="L33" s="18" t="str">
        <x:v>En az 1</x:v>
      </x:c>
      <x:c r="M33" s="18" t="str">
        <x:v>Doğrulanmadı</x:v>
      </x:c>
      <x:c r="N33" s="18" t="str">
        <x:v>4,53/15. Bir misafir gece izinsiz giriş, kir ve banyo sorunu; diğeri binada sorun bildirmiş. Diğerleri dükkânları ve ilgiyi övüyor. İddialar bağımsız doğrulanmadı.</x:v>
      </x:c>
    </x:row>
  </x:sheetData>
  <x:hyperlinks>
    <x:hyperlink xmlns:r="http://schemas.openxmlformats.org/officeDocument/2006/relationships" ref="I7" r:id="R4cd127332c0c4073"/>
    <x:hyperlink xmlns:r="http://schemas.openxmlformats.org/officeDocument/2006/relationships" ref="I8" r:id="Rab08772bb4514032"/>
    <x:hyperlink xmlns:r="http://schemas.openxmlformats.org/officeDocument/2006/relationships" ref="I9" r:id="R31edf95d51d5409c"/>
    <x:hyperlink xmlns:r="http://schemas.openxmlformats.org/officeDocument/2006/relationships" ref="I10" r:id="R3da9ac04681346ff"/>
    <x:hyperlink xmlns:r="http://schemas.openxmlformats.org/officeDocument/2006/relationships" ref="I11" r:id="R70d765aa2d7b49b1"/>
    <x:hyperlink xmlns:r="http://schemas.openxmlformats.org/officeDocument/2006/relationships" ref="I12" r:id="R6c5c8a0cee164151"/>
    <x:hyperlink xmlns:r="http://schemas.openxmlformats.org/officeDocument/2006/relationships" ref="I13" r:id="R02af659c4f4b4844"/>
    <x:hyperlink xmlns:r="http://schemas.openxmlformats.org/officeDocument/2006/relationships" ref="I14" r:id="R7bdcbdef8dda4988"/>
    <x:hyperlink xmlns:r="http://schemas.openxmlformats.org/officeDocument/2006/relationships" ref="I15" r:id="Rab917ef801c044a3"/>
    <x:hyperlink xmlns:r="http://schemas.openxmlformats.org/officeDocument/2006/relationships" ref="I16" r:id="R51be88bf3b2540a4"/>
    <x:hyperlink xmlns:r="http://schemas.openxmlformats.org/officeDocument/2006/relationships" ref="I17" r:id="Raece274391104031"/>
    <x:hyperlink xmlns:r="http://schemas.openxmlformats.org/officeDocument/2006/relationships" ref="I18" r:id="Re172009440a54dde"/>
    <x:hyperlink xmlns:r="http://schemas.openxmlformats.org/officeDocument/2006/relationships" ref="I19" r:id="R6fd01436390e44e9"/>
    <x:hyperlink xmlns:r="http://schemas.openxmlformats.org/officeDocument/2006/relationships" ref="I20" r:id="R0cf82a09598e4d1c"/>
    <x:hyperlink xmlns:r="http://schemas.openxmlformats.org/officeDocument/2006/relationships" ref="I21" r:id="R5dfa5eec9da849ab"/>
    <x:hyperlink xmlns:r="http://schemas.openxmlformats.org/officeDocument/2006/relationships" ref="I22" r:id="Raf1c06f0f5af402f"/>
    <x:hyperlink xmlns:r="http://schemas.openxmlformats.org/officeDocument/2006/relationships" ref="I23" r:id="Rca6da8edb31b47d7"/>
    <x:hyperlink xmlns:r="http://schemas.openxmlformats.org/officeDocument/2006/relationships" ref="I24" r:id="Rf642145be4a14d30"/>
    <x:hyperlink xmlns:r="http://schemas.openxmlformats.org/officeDocument/2006/relationships" ref="I25" r:id="Ra2cc9d43a0be40fa"/>
    <x:hyperlink xmlns:r="http://schemas.openxmlformats.org/officeDocument/2006/relationships" ref="I26" r:id="Rccf3154be64e4ed0"/>
    <x:hyperlink xmlns:r="http://schemas.openxmlformats.org/officeDocument/2006/relationships" ref="I27" r:id="R88071de1f9944e02"/>
    <x:hyperlink xmlns:r="http://schemas.openxmlformats.org/officeDocument/2006/relationships" ref="I28" r:id="R23dc4e11bda5499f"/>
    <x:hyperlink xmlns:r="http://schemas.openxmlformats.org/officeDocument/2006/relationships" ref="I29" r:id="Rb59fe85427f24742"/>
    <x:hyperlink xmlns:r="http://schemas.openxmlformats.org/officeDocument/2006/relationships" ref="I30" r:id="R54f31ffe69354360"/>
    <x:hyperlink xmlns:r="http://schemas.openxmlformats.org/officeDocument/2006/relationships" ref="I31" r:id="R2c6b91f6ada641dc"/>
    <x:hyperlink xmlns:r="http://schemas.openxmlformats.org/officeDocument/2006/relationships" ref="I32" r:id="R7f358d19dbac4ea5"/>
    <x:hyperlink xmlns:r="http://schemas.openxmlformats.org/officeDocument/2006/relationships" ref="I33" r:id="Rc419e656dd774ec1"/>
  </x:hyperlinks>
  <x:pageMargins left="0.7" right="0.7" top="0.75" bottom="0.75" header="0.3" footer="0.3"/>
  <x:tableParts count="1">
    <x:tablePart xmlns:r="http://schemas.openxmlformats.org/officeDocument/2006/relationships" r:id="R3b93ccec15e84134"/>
  </x:tableParts>
</x:worksheet>
</file>